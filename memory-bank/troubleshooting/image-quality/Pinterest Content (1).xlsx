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ly Review" sheetId="1" r:id="rId5"/>
    <sheet state="visible" name="Content Queue" sheetId="2" r:id="rId6"/>
    <sheet state="visible" name="Post Log" sheetId="3" r:id="rId7"/>
    <sheet state="visible" name="Dashboard"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type "run" if want to run a regen</t>
      </text>
    </comment>
  </commentList>
</comments>
</file>

<file path=xl/sharedStrings.xml><?xml version="1.0" encoding="utf-8"?>
<sst xmlns="http://schemas.openxmlformats.org/spreadsheetml/2006/main" count="601" uniqueCount="330">
  <si>
    <t>Pinterest Weekly Review</t>
  </si>
  <si>
    <t/>
  </si>
  <si>
    <t>2026-02-23</t>
  </si>
  <si>
    <t>STATUS</t>
  </si>
  <si>
    <t>approved</t>
  </si>
  <si>
    <t>=== PERFORMANCE SUMMARY ===</t>
  </si>
  <si>
    <t>=== ANALYSIS ===</t>
  </si>
  <si>
    <t># Weekly Performance Analysis — Week N/A, No Data Available</t>
  </si>
  <si>
    <t>## Key Metrics Summary</t>
  </si>
  <si>
    <t>| Metric | This Week | Last Week | Change |</t>
  </si>
  <si>
    <t>|--------|-----------|-----------|--------|</t>
  </si>
  <si>
    <t>| Impressions | 0 | 0 | N/A |</t>
  </si>
  <si>
    <t>| Saves | 0 | 0 | N/A |</t>
  </si>
  <si>
    <t>| Save Rate | 0% | 0% | N/A |</t>
  </si>
  <si>
    <t>| Outbound Clicks | 0 | 0 | N/A |</t>
  </si>
  <si>
    <t>| Outbound Click Rate | 0% | 0% | N/A |</t>
  </si>
  <si>
    <t>| Pins Posted | 0/Unknown planned | | |</t>
  </si>
  <si>
    <t>**vs. Targets:** No data available to compare against &gt;2% save rate and &gt;0.5% CTR targets.</t>
  </si>
  <si>
    <t>## Top 5 Performing Pins</t>
  </si>
  <si>
    <t>No pins po</t>
  </si>
  <si>
    <t>=== CONTENT PLAN ===</t>
  </si>
  <si>
    <t>Blog Posts Planned:</t>
  </si>
  <si>
    <t>10</t>
  </si>
  <si>
    <t>ID</t>
  </si>
  <si>
    <t>Type</t>
  </si>
  <si>
    <t>Topic</t>
  </si>
  <si>
    <t>Pillar</t>
  </si>
  <si>
    <t>Keywords</t>
  </si>
  <si>
    <t>W9-P01</t>
  </si>
  <si>
    <t>weekly-plan</t>
  </si>
  <si>
    <t>Spring Weekly Meal Plan — 5 Fresh Dinners Under 30 Minutes</t>
  </si>
  <si>
    <t>1</t>
  </si>
  <si>
    <t>weekly meal plan, spring dinner ideas, easy weeknight dinners, 30 minute meals</t>
  </si>
  <si>
    <t>W9-P02</t>
  </si>
  <si>
    <t>Family Meal Planning Made Simple — 5 Dinners Everyone Will Eat</t>
  </si>
  <si>
    <t>family meal planning, meal plan for the week, dinner ideas for family, easy dinner ideas</t>
  </si>
  <si>
    <t>W9-P03</t>
  </si>
  <si>
    <t>recipe</t>
  </si>
  <si>
    <t>Hidden Veggie Mac and Cheese Kids Actually Love</t>
  </si>
  <si>
    <t>2</t>
  </si>
  <si>
    <t>kid friendly dinners, hidden veggie recipes, easy dinners kids will eat, family friendly meals</t>
  </si>
  <si>
    <t>W9-P04</t>
  </si>
  <si>
    <t>guide</t>
  </si>
  <si>
    <t>How to Get Your Family to Agree on Dinner Before You Cook</t>
  </si>
  <si>
    <t>meals for picky families, picky eater meal ideas, family meal planning, kid friendly healthy meals</t>
  </si>
  <si>
    <t>W9-P05</t>
  </si>
  <si>
    <t>One-Pan Lemon Herb Chicken with Spring Vegetables</t>
  </si>
  <si>
    <t>3</t>
  </si>
  <si>
    <t>easy dinner ideas, one pan dinners, 30 minute meals, spring dinner ideas</t>
  </si>
  <si>
    <t>W9-P06</t>
  </si>
  <si>
    <t>15-Minute Teriyaki Salmon Bowls</t>
  </si>
  <si>
    <t>quick weeknight dinners, 15 minute meals, what to cook for dinner, easy family dinner recipes</t>
  </si>
  <si>
    <t>W9-P07</t>
  </si>
  <si>
    <t>Creamy Tuscan Chicken Pasta</t>
  </si>
  <si>
    <t>what to cook for dinner, easy weeknight dinners, simple dinner recipes, dinner ideas for family</t>
  </si>
  <si>
    <t>W9-P08</t>
  </si>
  <si>
    <t>Why We Quit HelloFresh and Started Planning Our Own Meals</t>
  </si>
  <si>
    <t>4</t>
  </si>
  <si>
    <t>hellofresh alternative, better than hello fresh, meal kit alternative, tired of meal kits</t>
  </si>
  <si>
    <t>W9-P09</t>
  </si>
  <si>
    <t>Air Fryer Honey Garlic Chicken Thighs</t>
  </si>
  <si>
    <t>5</t>
  </si>
  <si>
    <t>air fryer dinner recipes, easy dinner ideas, quick family meals, 30 minute meals</t>
  </si>
  <si>
    <t>W9-P10</t>
  </si>
  <si>
    <t>High-Protein Turkey Meatball Bowls</t>
  </si>
  <si>
    <t>high protein dinner recipes, easy dinner ideas, kid friendly healthy meals, quick weeknight dinners</t>
  </si>
  <si>
    <t>Pins Planned:</t>
  </si>
  <si>
    <t>28</t>
  </si>
  <si>
    <t>Board</t>
  </si>
  <si>
    <t>Schedule</t>
  </si>
  <si>
    <t>W9-01</t>
  </si>
  <si>
    <t>Complete spring meal plan — 5 fresh dinners with one grocery list</t>
  </si>
  <si>
    <t>Weekly Meal Plans &amp; Meal Planning Tips</t>
  </si>
  <si>
    <t>2026-02-25 / morning</t>
  </si>
  <si>
    <t>primary</t>
  </si>
  <si>
    <t>W9-02</t>
  </si>
  <si>
    <t>Lemon herb chicken with spring vegetables</t>
  </si>
  <si>
    <t>Easy Dinner Ideas for Families</t>
  </si>
  <si>
    <t>2026-02-25 / afternoon</t>
  </si>
  <si>
    <t>recipe-pull</t>
  </si>
  <si>
    <t>W9-03</t>
  </si>
  <si>
    <t>Spring vegetable stir-fry from weekly meal plan</t>
  </si>
  <si>
    <t>Quick Weeknight Dinner Recipes</t>
  </si>
  <si>
    <t>2026-02-25 / evening-1</t>
  </si>
  <si>
    <t>W9-04</t>
  </si>
  <si>
    <t>Fresh salmon with asparagus — spring dinner idea</t>
  </si>
  <si>
    <t>2026-02-25 / evening-2</t>
  </si>
  <si>
    <t>W9-05</t>
  </si>
  <si>
    <t>Family meal planning made simple — 5 dinners everyone agrees on</t>
  </si>
  <si>
    <t>2026-02-26 / morning</t>
  </si>
  <si>
    <t>W9-06</t>
  </si>
  <si>
    <t>Family-approved chicken tacos from meal plan</t>
  </si>
  <si>
    <t>2026-02-26 / afternoon</t>
  </si>
  <si>
    <t>W9-07</t>
  </si>
  <si>
    <t>One-pot pasta everyone in the family loves</t>
  </si>
  <si>
    <t>2026-02-26 / evening-1</t>
  </si>
  <si>
    <t>W9-08</t>
  </si>
  <si>
    <t>Sheet pan sausage and vegetables — family dinner winner</t>
  </si>
  <si>
    <t>2026-02-26 / evening-2</t>
  </si>
  <si>
    <t>W9-09</t>
  </si>
  <si>
    <t>Hidden veggie mac and cheese kids actually love</t>
  </si>
  <si>
    <t>Family Dinner Ideas Even Picky Eaters Love</t>
  </si>
  <si>
    <t>2026-02-27 / morning</t>
  </si>
  <si>
    <t>W9-10</t>
  </si>
  <si>
    <t>How to get your family to agree on dinner before you cook</t>
  </si>
  <si>
    <t>Family Meal Planning Strategies</t>
  </si>
  <si>
    <t>2026-02-27 / afternoon</t>
  </si>
  <si>
    <t>W9-11</t>
  </si>
  <si>
    <t>One-pan lemon herb chicken with spring vegetables</t>
  </si>
  <si>
    <t>2026-02-27 / evening-1</t>
  </si>
  <si>
    <t>W9-12</t>
  </si>
  <si>
    <t>15-minute teriyaki salmon bowls</t>
  </si>
  <si>
    <t>2026-02-27 / evening-2</t>
  </si>
  <si>
    <t>W9-13</t>
  </si>
  <si>
    <t>Creamy Tuscan chicken pasta</t>
  </si>
  <si>
    <t>2026-02-28 / morning</t>
  </si>
  <si>
    <t>W9-14</t>
  </si>
  <si>
    <t>Why we quit HelloFresh and started planning our own meals</t>
  </si>
  <si>
    <t>Better Than a Meal Kit</t>
  </si>
  <si>
    <t>2026-02-28 / afternoon</t>
  </si>
  <si>
    <t>W9-15</t>
  </si>
  <si>
    <t>Air fryer honey garlic chicken thighs</t>
  </si>
  <si>
    <t>Air Fryer &amp; Instant Pot Dinner Recipes</t>
  </si>
  <si>
    <t>2026-02-28 / evening-1</t>
  </si>
  <si>
    <t>W9-16</t>
  </si>
  <si>
    <t>High-protein turkey meatball bowls</t>
  </si>
  <si>
    <t>Healthy Family Dinner Recipes</t>
  </si>
  <si>
    <t>2026-02-28 / evening-2</t>
  </si>
  <si>
    <t>W9-17</t>
  </si>
  <si>
    <t>Spring chicken and rice skillet from meal plan</t>
  </si>
  <si>
    <t>2026-03-01 / morning</t>
  </si>
  <si>
    <t>W9-18</t>
  </si>
  <si>
    <t>Easy beef and broccoli stir-fry families love</t>
  </si>
  <si>
    <t>2026-03-01 / afternoon</t>
  </si>
  <si>
    <t>W9-19</t>
  </si>
  <si>
    <t>Hidden veggie dinner ideas kids will actually eat</t>
  </si>
  <si>
    <t>2026-03-01 / evening-1</t>
  </si>
  <si>
    <t>W9-20</t>
  </si>
  <si>
    <t>Family dinner planning strategies that actually work</t>
  </si>
  <si>
    <t>2026-03-01 / evening-2</t>
  </si>
  <si>
    <t>W9-21</t>
  </si>
  <si>
    <t>One-pan spring dinners ready in 30 minutes</t>
  </si>
  <si>
    <t>Meal Planning &amp; Grocery Tips</t>
  </si>
  <si>
    <t>2026-03-02 / morning</t>
  </si>
  <si>
    <t>W9-22</t>
  </si>
  <si>
    <t>15-minute dinner ideas for busy weeknights</t>
  </si>
  <si>
    <t>2026-03-02 / afternoon</t>
  </si>
  <si>
    <t>W9-23</t>
  </si>
  <si>
    <t>Creamy pasta dinners the whole family loves</t>
  </si>
  <si>
    <t>2026-03-02 / evening-1</t>
  </si>
  <si>
    <t>W9-24</t>
  </si>
  <si>
    <t>Meal kit alternatives that save time and money</t>
  </si>
  <si>
    <t>2026-03-02 / evening-2</t>
  </si>
  <si>
    <t>W9-25</t>
  </si>
  <si>
    <t>Air fryer chicken dinners ready in 30 minutes</t>
  </si>
  <si>
    <t>2026-03-03 / morning</t>
  </si>
  <si>
    <t>W9-26</t>
  </si>
  <si>
    <t>High-protein dinner ideas for active families</t>
  </si>
  <si>
    <t>2026-03-03 / afternoon</t>
  </si>
  <si>
    <t>W9-27</t>
  </si>
  <si>
    <t>Light spring pasta primavera from weekly meal plan</t>
  </si>
  <si>
    <t>2026-03-03 / evening-1</t>
  </si>
  <si>
    <t>W9-28</t>
  </si>
  <si>
    <t>5 steps to get your family to agree on dinner plans</t>
  </si>
  <si>
    <t>2026-03-03 / evening-2</t>
  </si>
  <si>
    <t>secondary</t>
  </si>
  <si>
    <t>Title</t>
  </si>
  <si>
    <t>Description</t>
  </si>
  <si>
    <t>Blog URL</t>
  </si>
  <si>
    <t>Thumbnail</t>
  </si>
  <si>
    <t>Status</t>
  </si>
  <si>
    <t>Notes</t>
  </si>
  <si>
    <t>Feedback</t>
  </si>
  <si>
    <t>Regen →</t>
  </si>
  <si>
    <t>idle</t>
  </si>
  <si>
    <t>blog</t>
  </si>
  <si>
    <t>This Week's Family Dinner Plan — 5 Fresh Spring Dinners Under 30 Minutes</t>
  </si>
  <si>
    <t>Your complete spring weekly dinner plan with 5 fresh family meals, all ready in under 30 minutes. Includes full recipes and combined grocery list.</t>
  </si>
  <si>
    <t>shrimp-avocado-tacos</t>
  </si>
  <si>
    <t>This Week's Family Dinner Plan — 5 Dinners Everyone Will Eat</t>
  </si>
  <si>
    <t>Your complete weekly dinner plan with 5 family-friendly meals that please picky eaters and busy parents. Includes full recipes and combined grocery list.</t>
  </si>
  <si>
    <t>beef-broccoli-stir-fry</t>
  </si>
  <si>
    <t>Creamy mac and cheese packed with hidden vegetables that kids can't detect. A sneaky way to get more nutrition into your family's favorite comfort food dinner.</t>
  </si>
  <si>
    <t>hidden-veggie-mac-and-cheese-kids-love</t>
  </si>
  <si>
    <t>regen_image</t>
  </si>
  <si>
    <t>this is a picture of vegetables, not a picture of mac and cheese WITH vegetables.</t>
  </si>
  <si>
    <t>How to Get Your Family to Agree on Dinner Before You Cook (No More Last-Minute Arguments)</t>
  </si>
  <si>
    <t>Stop cooking meals your family complains about. This buy-in strategy gets everyone to agree on dinner before you start cooking—ending mealtime arguments for good.</t>
  </si>
  <si>
    <t>meals-for-picky-families-agreement-strategy</t>
  </si>
  <si>
    <t>there is no picture here. what is supposed to go in this spot?</t>
  </si>
  <si>
    <t>One-Pan Lemon Herb Chicken with Spring Vegetables - Easy Dinner Ideas</t>
  </si>
  <si>
    <t>A complete one-pan dinner with juicy lemon herb chicken and fresh spring vegetables, ready in 35 minutes. Perfect for busy weeknights when you need something healthy and delicious.</t>
  </si>
  <si>
    <t>one-pan-lemon-herb-chicken-spring-vegetables</t>
  </si>
  <si>
    <t>15-Minute Teriyaki Salmon Bowls for Quick Weeknight Dinners</t>
  </si>
  <si>
    <t>Easy teriyaki salmon bowls ready in just 15 minutes. Perfect for busy weeknights when you need a healthy family dinner fast.</t>
  </si>
  <si>
    <t>15-minute-teriyaki-salmon-bowls</t>
  </si>
  <si>
    <t>this picture has noodles, the recipe is just salmon teriyaki.</t>
  </si>
  <si>
    <t>Creamy Tuscan Chicken Pasta - What to Cook for Dinner Tonight</t>
  </si>
  <si>
    <t>Rich, creamy pasta with tender chicken, sun-dried tomatoes, and spinach. A restaurant-quality dinner that's surprisingly easy to make at home in 35 minutes.</t>
  </si>
  <si>
    <t>creamy-tuscan-chicken-pasta</t>
  </si>
  <si>
    <t>this picture has absolutely nothing to do with the blog post</t>
  </si>
  <si>
    <t>Tired of meal kits that don't fit your family? Here's how we ditched HelloFresh for a smarter dinner planning system that actually works for real households.</t>
  </si>
  <si>
    <t>hellofresh-alternative-meal-planning</t>
  </si>
  <si>
    <t>there is no picture</t>
  </si>
  <si>
    <t>Air Fryer Honey Garlic Chicken Thighs - Easy 30-Minute Dinner</t>
  </si>
  <si>
    <t>Crispy, juicy air fryer honey garlic chicken thighs ready in 30 minutes. Sweet, savory, and family-approved - the perfect easy weeknight dinner.</t>
  </si>
  <si>
    <t>air-fryer-honey-garlic-chicken-thighs</t>
  </si>
  <si>
    <t>this picture has nothing to do with the blog post</t>
  </si>
  <si>
    <t>High-Protein Turkey Meatball Bowls — 30 Minutes</t>
  </si>
  <si>
    <t>Protein-packed turkey meatball bowls with quinoa and vegetables, ready in 30 minutes. A complete dinner that delivers 35g protein per serving for busy weeknights.</t>
  </si>
  <si>
    <t>high-protein-turkey-meatball-bowls</t>
  </si>
  <si>
    <t>this is a picture of meatballs in tomato sauce. the recipe calls for meatball bowls with quinoa and vegetables</t>
  </si>
  <si>
    <t>pin</t>
  </si>
  <si>
    <t>Weekly Meal Plan — 5 Fresh Spring Dinners with One Grocery List</t>
  </si>
  <si>
    <t>A complete weekly meal plan with five easy spring dinner ideas that make the most of fresh seasonal ingredients. This week features lemon herb chicken with vegetables, fresh salmon with asparagus, spring vegetable stir-fry, and two more family-friendly meals. Each recipe takes 30 minutes or less with simple prep and minimal cleanup. One organized grocery list covers everything you need for the whole week of dinners.
Alt: Flat lay of fresh spring ingredients organized on a white surface including asparagus, lemons, salmon, chicken, and colorful vegetables. Complete weekly meal plan with grocery list for spring dinner ideas.</t>
  </si>
  <si>
    <t>https://goslated.com/blog/shrimp-avocado-tacos</t>
  </si>
  <si>
    <t>2026-02-25/morning</t>
  </si>
  <si>
    <t>None</t>
  </si>
  <si>
    <t>Lemon Herb Chicken with Spring Vegetables — Easy One Pan Dinner</t>
  </si>
  <si>
    <t>Easy dinner ideas don't get simpler than this one pan lemon herb chicken with fresh spring vegetables. Tender chicken thighs seasoned with herbs and roasted alongside asparagus, baby potatoes, and snap peas. Everything cooks together on one sheet pan in 35 minutes with barely any prep work. The lemon keeps it bright and the herbs make it feel special enough for company but easy enough for a Tuesday night.
Alt: Golden roasted chicken thighs on a sheet pan surrounded by colorful spring vegetables including asparagus, baby potatoes, and snap peas with lemon slices. One pan spring dinner recipe.</t>
  </si>
  <si>
    <t>2026-02-25/afternoon</t>
  </si>
  <si>
    <t>this is chicken with oranges, the recipe talks about lemon herb chicken. this has the wrong ingredients and never should have been rated a 9</t>
  </si>
  <si>
    <t>Spring Vegetable Stir-Fry — Ready in 20 Minutes</t>
  </si>
  <si>
    <t>This 30 minute meal showcases the best spring vegetables in a quick and colorful stir-fry that's perfect for easy weeknight dinners. Fresh asparagus, snap peas, bell peppers, and carrots get tossed with a simple garlic ginger sauce that brings out all the natural flavors. Serve over rice or noodles for a complete meal that feels light and satisfying. The kind of spring dinner idea that makes vegetables the star.
Alt: Vibrant stir-fry in a large wok with fresh spring vegetables including asparagus, snap peas, bell peppers, and carrots in a light sauce. Quick 20-minute spring vegetable dinner.</t>
  </si>
  <si>
    <t>2026-02-25/evening-1</t>
  </si>
  <si>
    <t>Fresh Salmon with Asparagus — Quick Spring Dinner in 25 Minutes</t>
  </si>
  <si>
    <t>Easy dinner ideas for spring start with fresh salmon and tender asparagus cooked together in 25 minutes. This quick weeknight dinner pairs flaky herb-crusted salmon with roasted asparagus spears that cook at the same time. Simple seasonings let the fresh ingredients shine while keeping prep time minimal. Light enough for warmer weather but satisfying enough to keep everyone happy at the dinner table.
Alt: Baked salmon fillets with herb crust alongside bright green roasted asparagus spears on a white plate. Quick 25-minute spring dinner recipe with fresh salmon and vegetables.</t>
  </si>
  <si>
    <t>2026-02-25/evening-2</t>
  </si>
  <si>
    <t>Family Meal Planning Made Simple — 5 Dinners Everyone Actually Wants</t>
  </si>
  <si>
    <t>Family meal planning gets easier when you start with dinners everyone agrees on. This meal plan for the week features five crowd-pleasing dinner ideas for family that skip the complaints and get straight to satisfied appetites. Each recipe is tested for real families with real schedules and real opinions about what tastes good. Stop negotiating dinner every night and start with a plan that works for everyone from the start.
Alt: Happy family sitting around a dinner table with plates of food, smiling and enjoying their meal together. Family meal planning guide with dinner ideas everyone will eat.</t>
  </si>
  <si>
    <t>https://goslated.com/blog/beef-broccoli-stir-fry</t>
  </si>
  <si>
    <t>2026-02-26/morning</t>
  </si>
  <si>
    <t>Family Chicken Tacos — Easy Dinner Everyone Agrees On</t>
  </si>
  <si>
    <t>Easy dinner ideas that please the whole family start with these simple chicken tacos that let everyone build their own perfect bite. Tender seasoned chicken gets paired with all the fixings so picky eaters can stick to basics while adventurous eaters load up on extras. Ready in 20 minutes with minimal prep and maximum customization. These family friendly meals prove that dinner ideas for family don't have to be complicated to be delicious.
Alt: Colorful taco bar setup with seasoned chicken, warm tortillas, and various toppings including lettuce, cheese, tomatoes, and sour cream arranged on a wooden table. Family-friendly chicken taco dinner.</t>
  </si>
  <si>
    <t>2026-02-26/afternoon</t>
  </si>
  <si>
    <t>Easy Weeknight Dinners: One-Pot Pasta Everyone in Your Family Will Love</t>
  </si>
  <si>
    <t>Easy weeknight dinners don't get simpler than this one-pot pasta that cooks everything in a single pan. Tender pasta, savory sauce, and vegetables all come together in 25 minutes with minimal cleanup. The kind of family friendly meal that makes busy Tuesday nights feel manageable. No separate pots for boiling water, no draining, no extra dishes. Just dump, stir, and dinner is ready.
Alt: Close-up view of creamy one-pot pasta with vegetables in a large skillet, steam rising from the dish. Easy weeknight dinner recipe that cooks everything in one pan.</t>
  </si>
  <si>
    <t>2026-02-26/evening-1</t>
  </si>
  <si>
    <t>Sheet Pan Sausage and Vegetables — Easy Dinner Ideas for Busy Families</t>
  </si>
  <si>
    <t>Easy dinner ideas for families start with this sheet pan sausage and vegetables that everyone actually wants to eat. Italian sausage roasted with colorful bell peppers, onions, and potatoes creates a complete one pan dinner in under 40 minutes. Minimal prep, almost no cleanup, and the kind of family friendly meal that makes weeknight cooking feel effortless instead of overwhelming.
Alt: Sheet pan filled with golden roasted sausages surrounded by colorful bell peppers, onions, and baby potatoes fresh from the oven. Easy one pan dinner recipe for families.</t>
  </si>
  <si>
    <t>2026-02-26/evening-2</t>
  </si>
  <si>
    <t>Hidden Veggie Mac and Cheese — Kid Friendly Dinners They'll Actually Eat</t>
  </si>
  <si>
    <t>Kid friendly dinners that sneak in nutrition without the battle. This hidden veggie mac and cheese tastes like the classic comfort food kids love, but packs butternut squash and cauliflower into the creamy cheese sauce. Easy dinners kids will eat while parents feel good about what's on the plate. The vegetables blend completely into the sauce, so even the pickiest eaters won't detect them.
Alt: Bowl of creamy orange-tinted mac and cheese with a fork, showing the hidden vegetable cheese sauce that looks like regular mac and cheese. Kid friendly dinner with hidden vegetables.</t>
  </si>
  <si>
    <t>https://goslated.com/blog/hidden-veggie-mac-and-cheese-kids-love</t>
  </si>
  <si>
    <t>2026-02-27/morning</t>
  </si>
  <si>
    <t>regen</t>
  </si>
  <si>
    <t>this is a picture of vegetables not a picture of macroni and cheese with vegetables. Additionally the title is wrong. its "Mac and Cheese with Sevret Veggies" not "Mac and Cheese with Secrets".</t>
  </si>
  <si>
    <t>How to Get Your Picky Family to Agree on Dinner Before You Cook</t>
  </si>
  <si>
    <t>Meals for picky families don't have to end in complaints at dinnertime. This family meal planning strategy gets everyone's input at the beginning of the week instead of dealing with 'I don't want that' after you've already cooked. Simple system for including picky eater meal ideas that work for the whole family while keeping one person from becoming the short-order cook every single night.
Alt: Family of four sitting around a kitchen table with notebooks and meal planning sheets, discussing dinner options together. Family meal planning strategy for picky eaters.</t>
  </si>
  <si>
    <t>https://goslated.com/blog/meals-for-picky-families-agreement-strategy</t>
  </si>
  <si>
    <t>2026-02-27/afternoon</t>
  </si>
  <si>
    <t>One-Pan Lemon Herb Chicken with Spring Vegetables — Easy Dinner Ideas</t>
  </si>
  <si>
    <t>Easy dinner ideas for spring featuring tender lemon herb chicken roasted with fresh asparagus, baby potatoes, and cherry tomatoes. This one pan dinner cooks everything together in 35 minutes with bright, fresh flavors that feel like a celebration of the season. 30 minute meals don't get more elegant than this simple roasted chicken that makes any weeknight feel special without extra work.
Alt: Sheet pan with golden lemon herb chicken thighs surrounded by roasted spring vegetables including asparagus, baby potatoes, and cherry tomatoes. One pan spring dinner recipe.</t>
  </si>
  <si>
    <t>https://goslated.com/blog/one-pan-lemon-herb-chicken-spring-vegetables</t>
  </si>
  <si>
    <t>2026-02-27/evening-1</t>
  </si>
  <si>
    <t>15-Minute Teriyaki Salmon Bowls — Quick Weeknight Dinners That Deliver</t>
  </si>
  <si>
    <t>Quick weeknight dinners ready in just 15 minutes with these teriyaki salmon bowls that taste like takeout but cost way less. Flaky salmon glazed in homemade teriyaki sauce over rice with crisp vegetables creates a complete meal faster than delivery. What to cook for dinner when you need something healthy, delicious, and ready before anyone gets hangry. Perfect for those nights when time is tight.
Alt: Colorful bowl with glazed teriyaki salmon over white rice, topped with sliced avocado, cucumber, and edamame. Quick 15-minute weeknight dinner recipe.</t>
  </si>
  <si>
    <t>https://goslated.com/blog/15-minute-teriyaki-salmon-bowls</t>
  </si>
  <si>
    <t>2026-02-27/evening-2</t>
  </si>
  <si>
    <t>this picture has noodles. this should be a bowl with teriyaki salmon, white rice, and vegetables</t>
  </si>
  <si>
    <t>Creamy Tuscan Chicken Pasta — What to Cook for Dinner Tonight</t>
  </si>
  <si>
    <t>What to cook for dinner when you want something special but easy? This creamy Tuscan chicken pasta delivers restaurant flavor in 30 minutes. Tender chicken, sun-dried tomatoes, and spinach in a rich garlic cream sauce that clings to every bite. Simple enough for a Tuesday night but impressive enough that everyone will ask for seconds. The kind of easy weeknight dinner that makes you feel like you've got this whole cooking thing figured out.
Alt: Close-up view of creamy Tuscan chicken pasta in a large skillet with golden chicken pieces, sun-dried tomatoes, and fresh spinach in a rich cream sauce. Easy weeknight dinner recipe ready in 30 minutes.</t>
  </si>
  <si>
    <t>https://goslated.com/blog/creamy-tuscan-chicken-pasta</t>
  </si>
  <si>
    <t>2026-02-28/morning</t>
  </si>
  <si>
    <t>HelloFresh Alternative — Why We Quit Meal Kits and Started Planning Our Own</t>
  </si>
  <si>
    <t>Looking for a HelloFresh alternative that actually works for your family? After two years of meal kit subscriptions, we discovered something better than HelloFresh: planning our own meals with a simple system. No more boxes of ingredients we didn't choose, no more recipes that took twice as long as promised, and no more paying premium prices for basic meals. This guide walks through exactly how we transitioned from meal kits to our own family meal planning system.
Alt: Split image showing a HelloFresh meal kit box on one side and a family's organized meal planning setup with grocery list and recipe cards on the other. Better alternative to meal kit services.</t>
  </si>
  <si>
    <t>https://goslated.com/blog/hellofresh-alternative-meal-planning</t>
  </si>
  <si>
    <t>2026-02-28/afternoon</t>
  </si>
  <si>
    <t>Air Fryer Honey Garlic Chicken Thighs — Easy Dinner in 25 Minutes</t>
  </si>
  <si>
    <t>Air fryer dinner recipes don't get much easier than these honey garlic chicken thighs. Crispy skin, juicy meat, and a sticky-sweet glaze that caramelizes perfectly in the air fryer. Just season, toss in the basket, and dinner is ready in 25 minutes with almost no cleanup. The whole family loves the sweet and savory flavor, and you'll love how hands-off this easy dinner idea is. Perfect for busy weeknights when you want something special without the fuss.
Alt: Golden-brown air fryer honey garlic chicken thighs with crispy skin and glossy caramelized glaze, served on a white plate with steamed vegetables. Quick 25-minute air fryer dinner recipe.</t>
  </si>
  <si>
    <t>https://goslated.com/blog/air-fryer-honey-garlic-chicken-thighs</t>
  </si>
  <si>
    <t>2026-02-28/evening-1</t>
  </si>
  <si>
    <t>High Protein Turkey Meatball Bowls — Healthy Dinner Kids Actually Eat</t>
  </si>
  <si>
    <t>High protein dinner recipes that kids will actually eat can be tricky, but these turkey meatball bowls hit the mark every time. Lean ground turkey meatballs with hidden vegetables, served over rice with simple sides the whole family loves. Each bowl packs 35 grams of protein while sneaking in extra nutrition. Easy to customize for different tastes and dietary needs. The kind of kid friendly healthy meal that makes dinner time peaceful instead of a battle.
Alt: Colorful bowl with turkey meatballs over rice, surrounded by steamed broccoli and cherry tomatoes, showing a complete high-protein family dinner. Healthy meal that kids will eat.</t>
  </si>
  <si>
    <t>https://goslated.com/blog/high-protein-turkey-meatball-bowls</t>
  </si>
  <si>
    <t>2026-02-28/evening-2</t>
  </si>
  <si>
    <t>this is turkey meatballs in tomato sauce not Turkey meatballs over rice and veggies.</t>
  </si>
  <si>
    <t>Spring Chicken and Rice Skillet — Easy Weeknight Dinner in One Pan</t>
  </si>
  <si>
    <t>Easy weeknight dinners don't have to be complicated, and this spring chicken and rice skillet proves it. Tender chicken, fluffy rice, and fresh spring vegetables all cooked together in one pan for minimal cleanup. The rice absorbs all the savory flavors while the vegetables stay bright and crisp. Ready in 35 minutes with ingredients you probably already have. This one pan dinner makes Tuesday night feel completely manageable, and the leftovers reheat beautifully for lunch.
Alt: Large cast iron skillet filled with golden chicken pieces, fluffy rice, and colorful spring vegetables including asparagus and peas. One pan spring dinner recipe for busy weeknights.</t>
  </si>
  <si>
    <t>2026-03-01/morning</t>
  </si>
  <si>
    <t>i have no idea what this is a picture of but it is not chicken and rice in one pan</t>
  </si>
  <si>
    <t>Easy Beef and Broccoli Stir-Fry — Dinner Ideas for Family in 30 Minutes</t>
  </si>
  <si>
    <t>Dinner ideas for family night don't get much better than this easy beef and broccoli stir-fry. Tender strips of beef and crisp broccoli in a savory sauce that's way better than takeout. Ready in just 30 minutes, this easy weeknight dinner uses simple ingredients and one pan for quick cleanup. The whole family loves the familiar flavors, and you'll love how fast it comes together. Serve over rice for a complete meal that satisfies everyone at the table.
Alt: Wok or large skillet with beef and broccoli stir-fry showing tender beef strips and bright green broccoli florets in a glossy brown sauce. Quick 30-minute family dinner recipe.</t>
  </si>
  <si>
    <t>2026-03-01/afternoon</t>
  </si>
  <si>
    <t>this is a picture of broccoli, not a picture of beef and broccoli stir-fry</t>
  </si>
  <si>
    <t>Hidden Veggie Recipes Kids Actually Eat — 12 Sneaky Dinner Ideas That Work</t>
  </si>
  <si>
    <t>Hidden veggie recipes that turn picky eaters into happy diners. These kid friendly dinners pack vegetables into familiar favorites like mac and cheese, meatballs, and pasta sauce. Each recipe hides nutrients without changing the flavors kids love. From cauliflower mac to zucchini meatballs, these easy dinners kids will eat prove you can serve vegetables without the dinner table battles.
Alt: Colorful array of kid-friendly dinner plates showing hidden vegetable recipes like veggie-packed mac and cheese, zucchini meatballs, and cauliflower pizza. Hidden veggie recipes that kids actually eat.</t>
  </si>
  <si>
    <t>2026-03-01/evening-1</t>
  </si>
  <si>
    <t>this should be a stock image not a template</t>
  </si>
  <si>
    <t>Family Meal Planning That Actually Works — 7 Strategies for Picky Families</t>
  </si>
  <si>
    <t>Family meal planning strategies that work when everyone has different preferences. These practical tips help you plan meals for picky families without becoming a short-order cook. Learn how to create weekly plans that include everyone's favorites while introducing new foods gradually. Perfect for families dealing with picky eater meal ideas and wanting to streamline dinner decisions without the nightly arguments.
Alt: Organized meal planning setup with weekly calendar, grocery list, and family photos showing different meal preferences. Family meal planning strategies for households with picky eaters.</t>
  </si>
  <si>
    <t>2026-03-01/evening-2</t>
  </si>
  <si>
    <t>30 Minute Meals — One Pan Spring Dinners Ready in Half an Hour</t>
  </si>
  <si>
    <t>Quick 30 minute meals using fresh spring ingredients and just one pan. These one pan dinners feature seasonal vegetables like asparagus, peas, and spring onions combined with protein for complete family meals. Each spring dinner idea requires minimal prep and cleanup while delivering maximum flavor. Perfect for busy weeknights when you want something fresh and light without spending hours in the kitchen.
Alt: Single sheet pan filled with colorful spring vegetables and protein, fresh from the oven. One pan spring dinner ready in 30 minutes with seasonal vegetables.</t>
  </si>
  <si>
    <t>2026-03-02/morning</t>
  </si>
  <si>
    <t>15 Minute Meals — Quick Weeknight Dinners When Time is Short</t>
  </si>
  <si>
    <t>Fast 15 minute meals for the busiest weeknights. These quick weeknight dinners use shortcuts and simple techniques to get dinner on the table in record time. From pasta dishes to stir-fries, each easy family dinner recipe requires minimal ingredients and maximum efficiency. Perfect for those nights when takeout seems like the only option but you want something homemade and satisfying instead.
Alt: Kitchen timer showing 15 minutes next to a completed family dinner with pasta, vegetables, and protein on colorful plates. Quick 15-minute weeknight dinner recipes.</t>
  </si>
  <si>
    <t>2026-03-02/afternoon</t>
  </si>
  <si>
    <t>Dinner Ideas for Family — Creamy Pasta Recipes Everyone Will Love</t>
  </si>
  <si>
    <t>Comforting dinner ideas for family featuring creamy pasta dishes that please every palate. These easy weeknight dinners combine rich, satisfying sauces with pasta shapes kids and adults both enjoy. Each family friendly meal comes together quickly using pantry staples and simple techniques. From classic alfredo variations to cheesy baked pasta dishes, these recipes solve the nightly question of what to cook for dinner.
Alt: Multiple bowls of creamy pasta dishes arranged on a family dinner table, showing different sauce varieties and pasta shapes. Family-friendly creamy pasta dinner recipes.</t>
  </si>
  <si>
    <t>2026-03-02/evening-1</t>
  </si>
  <si>
    <t>Meal Kit Alternative — Save Time and Money with This Better System</t>
  </si>
  <si>
    <t>A practical meal kit alternative that gives you convenience without the subscription cost. If you're tired of meal kits but still want the planning done for you, this system provides better than Hello Fresh results at a fraction of the price. Learn how to get the same variety and convenience while maintaining control over your ingredients, portions, and schedule. Perfect for families ready to graduate from meal delivery services.
Alt: Side-by-side comparison showing expensive meal kit ingredients next to affordable grocery store ingredients, demonstrating a cost-effective meal kit alternative approach.</t>
  </si>
  <si>
    <t>2026-03-02/evening-2</t>
  </si>
  <si>
    <t>Air Fryer Chicken Dinners Ready in 30 Minutes — 5 Easy Recipes for Busy Weeknights</t>
  </si>
  <si>
    <t>Air fryer dinner recipes that get crispy, juicy chicken on the table in 30 minutes or less. Five family-friendly recipes including honey garlic chicken thighs, buffalo chicken tenders, and herb-crusted drumsticks. Each recipe uses simple ingredients you probably have on hand and requires minimal prep work. Perfect for those nights when you need dinner fast but still want something homemade and delicious.
Alt: Collage showing five different air fryer chicken dishes including golden chicken thighs, crispy tenders, and seasoned drumsticks arranged on white plates. Quick 30-minute air fryer dinner recipes for families.</t>
  </si>
  <si>
    <t>2026-03-03/morning</t>
  </si>
  <si>
    <t>High Protein Dinner Recipes for Active Families — Quick Weeknight Meals That Fuel</t>
  </si>
  <si>
    <t>High protein dinner recipes designed for active families who need fuel that lasts. These healthy family dinner recipes pack 25+ grams of protein per serving and come together in 45 minutes or less. From sheet pan salmon with quinoa to turkey meatball bowls, each meal balances protein with vegetables and whole grains. Perfect for families with busy schedules who want nutritious weeknight dinners without the fuss.
Alt: Grid layout of four high-protein dinner plates featuring grilled chicken, salmon, turkey meatballs, and lean beef with vegetables. Healthy family dinner recipes with high protein content for active lifestyles.</t>
  </si>
  <si>
    <t>2026-03-03/afternoon</t>
  </si>
  <si>
    <t>Spring Pasta Primavera — Light 30 Minute Dinner with Fresh Vegetables</t>
  </si>
  <si>
    <t>Spring dinner ideas don't get much better than this fresh pasta primavera loaded with seasonal vegetables. Tender asparagus, sweet peas, and cherry tomatoes tossed with pasta in a light lemon herb sauce. This easy dinner idea comes together in just 30 minutes and celebrates the best of spring produce. Light enough for warmer weather but satisfying enough for the whole family.
Alt: Bowl of colorful pasta primavera with fresh spring vegetables including asparagus, peas, and cherry tomatoes in a light sauce, garnished with herbs. Light spring dinner recipe ready in 30 minutes.</t>
  </si>
  <si>
    <t>2026-03-03/evening-1</t>
  </si>
  <si>
    <t>this is a picture of flowers. the recipe is pasta primavera with vegetables</t>
  </si>
  <si>
    <t>5 Steps to Get Your Family to Agree on Dinner Plans — End the Nightly Food Fights</t>
  </si>
  <si>
    <t>Picky eater meal ideas start with getting everyone on board before you cook. This family meal planning strategy walks through five simple steps to get your whole family agreeing on dinner plans at the beginning of the week instead of complaining at the dinner table. Works for families with different tastes, dietary needs, and yes, even the pickiest eaters. Stop being the short-order cook.
Alt: Infographic showing five numbered steps for family meal planning with icons representing discussion, choice, and agreement. Guide for managing picky eater meal ideas and family dinner planning.</t>
  </si>
  <si>
    <t>2026-03-03/evening-2</t>
  </si>
  <si>
    <t>QUALITY GATE STATS</t>
  </si>
  <si>
    <t>Stock: 17 ranked, 0 retried, 0 fell back to AI</t>
  </si>
  <si>
    <t>AI: 0 validated, 0 regenerated, 0 low_confidence</t>
  </si>
  <si>
    <t>Pin ID</t>
  </si>
  <si>
    <t>Post ID</t>
  </si>
  <si>
    <t>Poasted At</t>
  </si>
  <si>
    <t>Link</t>
  </si>
  <si>
    <t>Pinterest Pipeline Dashboard</t>
  </si>
  <si>
    <t>2026-02-23 10:45 UTC</t>
  </si>
  <si>
    <t>monthly_review_date</t>
  </si>
  <si>
    <t>2026-02</t>
  </si>
  <si>
    <t>monthly_review_path</t>
  </si>
  <si>
    <t>/home/runner/work/slated-pinterest-bot/slated-pinterest-bot/analysis/monthly/2026-02-review.md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</si>
</sst>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2" fontId="1" numFmtId="0" xfId="0" applyAlignment="1" applyFill="1" applyFont="1">
      <alignment readingOrder="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723900</xdr:colOff>
      <xdr:row>0</xdr:row>
      <xdr:rowOff>0</xdr:rowOff>
    </xdr:from>
    <xdr:ext cx="1581150" cy="523875"/>
    <xdr:sp>
      <xdr:nvSpPr>
        <xdr:cNvPr id="3" name="Shape 3"/>
        <xdr:cNvSpPr/>
      </xdr:nvSpPr>
      <xdr:spPr>
        <a:xfrm>
          <a:off x="2365025" y="453650"/>
          <a:ext cx="1561200" cy="500400"/>
        </a:xfrm>
        <a:prstGeom prst="roundRect">
          <a:avLst>
            <a:gd fmla="val 16667" name="adj"/>
          </a:avLst>
        </a:prstGeom>
        <a:solidFill>
          <a:srgbClr val="FFFF00"/>
        </a:solidFill>
        <a:ln cap="flat" cmpd="sng" w="9525">
          <a:solidFill>
            <a:srgbClr val="1155CC"/>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Run Regen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goslated.com/blog/hidden-veggie-mac-and-cheese-kids-love" TargetMode="External"/><Relationship Id="rId22" Type="http://schemas.openxmlformats.org/officeDocument/2006/relationships/hyperlink" Target="https://goslated.com/blog/one-pan-lemon-herb-chicken-spring-vegetables" TargetMode="External"/><Relationship Id="rId21" Type="http://schemas.openxmlformats.org/officeDocument/2006/relationships/hyperlink" Target="https://goslated.com/blog/meals-for-picky-families-agreement-strategy" TargetMode="External"/><Relationship Id="rId24" Type="http://schemas.openxmlformats.org/officeDocument/2006/relationships/hyperlink" Target="https://goslated.com/blog/creamy-tuscan-chicken-pasta" TargetMode="External"/><Relationship Id="rId23" Type="http://schemas.openxmlformats.org/officeDocument/2006/relationships/hyperlink" Target="https://goslated.com/blog/15-minute-teriyaki-salmon-bowls" TargetMode="External"/><Relationship Id="rId1" Type="http://schemas.openxmlformats.org/officeDocument/2006/relationships/comments" Target="../comments1.xml"/><Relationship Id="rId2" Type="http://schemas.openxmlformats.org/officeDocument/2006/relationships/hyperlink" Target="https://goslated.com/blog/shrimp-avocado-tacos" TargetMode="External"/><Relationship Id="rId3" Type="http://schemas.openxmlformats.org/officeDocument/2006/relationships/hyperlink" Target="https://goslated.com/blog/shrimp-avocado-tacos" TargetMode="External"/><Relationship Id="rId4" Type="http://schemas.openxmlformats.org/officeDocument/2006/relationships/hyperlink" Target="https://goslated.com/blog/shrimp-avocado-tacos" TargetMode="External"/><Relationship Id="rId9" Type="http://schemas.openxmlformats.org/officeDocument/2006/relationships/hyperlink" Target="https://goslated.com/blog/beef-broccoli-stir-fry" TargetMode="External"/><Relationship Id="rId26" Type="http://schemas.openxmlformats.org/officeDocument/2006/relationships/hyperlink" Target="https://goslated.com/blog/air-fryer-honey-garlic-chicken-thighs" TargetMode="External"/><Relationship Id="rId25" Type="http://schemas.openxmlformats.org/officeDocument/2006/relationships/hyperlink" Target="https://goslated.com/blog/hellofresh-alternative-meal-planning" TargetMode="External"/><Relationship Id="rId28" Type="http://schemas.openxmlformats.org/officeDocument/2006/relationships/hyperlink" Target="https://goslated.com/blog/shrimp-avocado-tacos" TargetMode="External"/><Relationship Id="rId27" Type="http://schemas.openxmlformats.org/officeDocument/2006/relationships/hyperlink" Target="https://goslated.com/blog/high-protein-turkey-meatball-bowls" TargetMode="External"/><Relationship Id="rId5" Type="http://schemas.openxmlformats.org/officeDocument/2006/relationships/hyperlink" Target="https://goslated.com/blog/shrimp-avocado-tacos" TargetMode="External"/><Relationship Id="rId6" Type="http://schemas.openxmlformats.org/officeDocument/2006/relationships/hyperlink" Target="https://goslated.com/blog/beef-broccoli-stir-fry" TargetMode="External"/><Relationship Id="rId29" Type="http://schemas.openxmlformats.org/officeDocument/2006/relationships/hyperlink" Target="https://goslated.com/blog/meals-for-picky-families-agreement-strategy" TargetMode="External"/><Relationship Id="rId7" Type="http://schemas.openxmlformats.org/officeDocument/2006/relationships/hyperlink" Target="https://goslated.com/blog/beef-broccoli-stir-fry" TargetMode="External"/><Relationship Id="rId8" Type="http://schemas.openxmlformats.org/officeDocument/2006/relationships/hyperlink" Target="https://goslated.com/blog/beef-broccoli-stir-fry" TargetMode="External"/><Relationship Id="rId31" Type="http://schemas.openxmlformats.org/officeDocument/2006/relationships/vmlDrawing" Target="../drawings/vmlDrawing1.vml"/><Relationship Id="rId30" Type="http://schemas.openxmlformats.org/officeDocument/2006/relationships/drawing" Target="../drawings/drawing2.xml"/><Relationship Id="rId11" Type="http://schemas.openxmlformats.org/officeDocument/2006/relationships/hyperlink" Target="https://goslated.com/blog/meals-for-picky-families-agreement-strategy" TargetMode="External"/><Relationship Id="rId10" Type="http://schemas.openxmlformats.org/officeDocument/2006/relationships/hyperlink" Target="https://goslated.com/blog/hidden-veggie-mac-and-cheese-kids-love" TargetMode="External"/><Relationship Id="rId13" Type="http://schemas.openxmlformats.org/officeDocument/2006/relationships/hyperlink" Target="https://goslated.com/blog/15-minute-teriyaki-salmon-bowls" TargetMode="External"/><Relationship Id="rId12" Type="http://schemas.openxmlformats.org/officeDocument/2006/relationships/hyperlink" Target="https://goslated.com/blog/one-pan-lemon-herb-chicken-spring-vegetables" TargetMode="External"/><Relationship Id="rId15" Type="http://schemas.openxmlformats.org/officeDocument/2006/relationships/hyperlink" Target="https://goslated.com/blog/hellofresh-alternative-meal-planning" TargetMode="External"/><Relationship Id="rId14" Type="http://schemas.openxmlformats.org/officeDocument/2006/relationships/hyperlink" Target="https://goslated.com/blog/creamy-tuscan-chicken-pasta" TargetMode="External"/><Relationship Id="rId17" Type="http://schemas.openxmlformats.org/officeDocument/2006/relationships/hyperlink" Target="https://goslated.com/blog/high-protein-turkey-meatball-bowls" TargetMode="External"/><Relationship Id="rId16" Type="http://schemas.openxmlformats.org/officeDocument/2006/relationships/hyperlink" Target="https://goslated.com/blog/air-fryer-honey-garlic-chicken-thighs" TargetMode="External"/><Relationship Id="rId19" Type="http://schemas.openxmlformats.org/officeDocument/2006/relationships/hyperlink" Target="https://goslated.com/blog/beef-broccoli-stir-fry" TargetMode="External"/><Relationship Id="rId18" Type="http://schemas.openxmlformats.org/officeDocument/2006/relationships/hyperlink" Target="https://goslated.com/blog/shrimp-avocado-taco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3" width="29.25"/>
    <col customWidth="1" min="4" max="4" width="24.0"/>
  </cols>
  <sheetData>
    <row r="1">
      <c r="A1" s="1" t="s">
        <v>0</v>
      </c>
      <c r="B1" s="1" t="s">
        <v>1</v>
      </c>
      <c r="C1" s="1" t="s">
        <v>1</v>
      </c>
      <c r="D1" s="2" t="s">
        <v>2</v>
      </c>
    </row>
    <row r="2">
      <c r="A2" s="1" t="s">
        <v>1</v>
      </c>
    </row>
    <row r="3">
      <c r="A3" s="1" t="s">
        <v>3</v>
      </c>
      <c r="B3" s="1" t="s">
        <v>4</v>
      </c>
    </row>
    <row r="4">
      <c r="A4" s="1" t="s">
        <v>1</v>
      </c>
    </row>
    <row r="5">
      <c r="A5" s="2" t="s">
        <v>5</v>
      </c>
    </row>
    <row r="6">
      <c r="A6" s="1" t="s">
        <v>1</v>
      </c>
    </row>
    <row r="7">
      <c r="A7" s="2" t="s">
        <v>6</v>
      </c>
    </row>
    <row r="8">
      <c r="A8" s="1" t="s">
        <v>7</v>
      </c>
    </row>
    <row r="9">
      <c r="A9" s="1" t="s">
        <v>1</v>
      </c>
    </row>
    <row r="10">
      <c r="A10" s="1" t="s">
        <v>8</v>
      </c>
    </row>
    <row r="11">
      <c r="A11" s="1" t="s">
        <v>1</v>
      </c>
    </row>
    <row r="12">
      <c r="A12" s="1" t="s">
        <v>9</v>
      </c>
    </row>
    <row r="13">
      <c r="A13" s="1" t="s">
        <v>10</v>
      </c>
    </row>
    <row r="14">
      <c r="A14" s="1" t="s">
        <v>11</v>
      </c>
    </row>
    <row r="15">
      <c r="A15" s="1" t="s">
        <v>12</v>
      </c>
    </row>
    <row r="16">
      <c r="A16" s="1" t="s">
        <v>13</v>
      </c>
    </row>
    <row r="17">
      <c r="A17" s="1" t="s">
        <v>14</v>
      </c>
    </row>
    <row r="18">
      <c r="A18" s="1" t="s">
        <v>15</v>
      </c>
    </row>
    <row r="19">
      <c r="A19" s="1" t="s">
        <v>16</v>
      </c>
    </row>
    <row r="20">
      <c r="A20" s="1" t="s">
        <v>1</v>
      </c>
    </row>
    <row r="21">
      <c r="A21" s="1" t="s">
        <v>17</v>
      </c>
    </row>
    <row r="22">
      <c r="A22" s="1" t="s">
        <v>1</v>
      </c>
    </row>
    <row r="23">
      <c r="A23" s="1" t="s">
        <v>18</v>
      </c>
    </row>
    <row r="24">
      <c r="A24" s="1" t="s">
        <v>1</v>
      </c>
    </row>
    <row r="25">
      <c r="A25" s="1" t="s">
        <v>19</v>
      </c>
    </row>
    <row r="26">
      <c r="A26" s="1" t="s">
        <v>1</v>
      </c>
    </row>
    <row r="27">
      <c r="A27" s="2" t="s">
        <v>20</v>
      </c>
    </row>
    <row r="28">
      <c r="A28" s="1" t="s">
        <v>21</v>
      </c>
      <c r="B28" s="2" t="s">
        <v>22</v>
      </c>
    </row>
    <row r="29">
      <c r="A29" s="1" t="s">
        <v>23</v>
      </c>
      <c r="B29" s="1" t="s">
        <v>24</v>
      </c>
      <c r="C29" s="1" t="s">
        <v>25</v>
      </c>
      <c r="D29" s="1" t="s">
        <v>26</v>
      </c>
      <c r="E29" s="1" t="s">
        <v>27</v>
      </c>
    </row>
    <row r="30">
      <c r="A30" s="1" t="s">
        <v>28</v>
      </c>
      <c r="B30" s="1" t="s">
        <v>29</v>
      </c>
      <c r="C30" s="1" t="s">
        <v>30</v>
      </c>
      <c r="D30" s="2" t="s">
        <v>31</v>
      </c>
      <c r="E30" s="1" t="s">
        <v>32</v>
      </c>
    </row>
    <row r="31">
      <c r="A31" s="1" t="s">
        <v>33</v>
      </c>
      <c r="B31" s="1" t="s">
        <v>29</v>
      </c>
      <c r="C31" s="1" t="s">
        <v>34</v>
      </c>
      <c r="D31" s="2" t="s">
        <v>31</v>
      </c>
      <c r="E31" s="1" t="s">
        <v>35</v>
      </c>
    </row>
    <row r="32">
      <c r="A32" s="1" t="s">
        <v>36</v>
      </c>
      <c r="B32" s="1" t="s">
        <v>37</v>
      </c>
      <c r="C32" s="1" t="s">
        <v>38</v>
      </c>
      <c r="D32" s="2" t="s">
        <v>39</v>
      </c>
      <c r="E32" s="1" t="s">
        <v>40</v>
      </c>
    </row>
    <row r="33">
      <c r="A33" s="1" t="s">
        <v>41</v>
      </c>
      <c r="B33" s="1" t="s">
        <v>42</v>
      </c>
      <c r="C33" s="1" t="s">
        <v>43</v>
      </c>
      <c r="D33" s="2" t="s">
        <v>39</v>
      </c>
      <c r="E33" s="1" t="s">
        <v>44</v>
      </c>
    </row>
    <row r="34">
      <c r="A34" s="1" t="s">
        <v>45</v>
      </c>
      <c r="B34" s="1" t="s">
        <v>37</v>
      </c>
      <c r="C34" s="1" t="s">
        <v>46</v>
      </c>
      <c r="D34" s="2" t="s">
        <v>47</v>
      </c>
      <c r="E34" s="1" t="s">
        <v>48</v>
      </c>
    </row>
    <row r="35">
      <c r="A35" s="1" t="s">
        <v>49</v>
      </c>
      <c r="B35" s="1" t="s">
        <v>37</v>
      </c>
      <c r="C35" s="1" t="s">
        <v>50</v>
      </c>
      <c r="D35" s="2" t="s">
        <v>47</v>
      </c>
      <c r="E35" s="1" t="s">
        <v>51</v>
      </c>
    </row>
    <row r="36">
      <c r="A36" s="1" t="s">
        <v>52</v>
      </c>
      <c r="B36" s="1" t="s">
        <v>37</v>
      </c>
      <c r="C36" s="1" t="s">
        <v>53</v>
      </c>
      <c r="D36" s="2" t="s">
        <v>47</v>
      </c>
      <c r="E36" s="1" t="s">
        <v>54</v>
      </c>
    </row>
    <row r="37">
      <c r="A37" s="1" t="s">
        <v>55</v>
      </c>
      <c r="B37" s="1" t="s">
        <v>42</v>
      </c>
      <c r="C37" s="1" t="s">
        <v>56</v>
      </c>
      <c r="D37" s="2" t="s">
        <v>57</v>
      </c>
      <c r="E37" s="1" t="s">
        <v>58</v>
      </c>
    </row>
    <row r="38">
      <c r="A38" s="1" t="s">
        <v>59</v>
      </c>
      <c r="B38" s="1" t="s">
        <v>37</v>
      </c>
      <c r="C38" s="1" t="s">
        <v>60</v>
      </c>
      <c r="D38" s="2" t="s">
        <v>61</v>
      </c>
      <c r="E38" s="1" t="s">
        <v>62</v>
      </c>
    </row>
    <row r="39">
      <c r="A39" s="1" t="s">
        <v>63</v>
      </c>
      <c r="B39" s="1" t="s">
        <v>37</v>
      </c>
      <c r="C39" s="1" t="s">
        <v>64</v>
      </c>
      <c r="D39" s="2" t="s">
        <v>61</v>
      </c>
      <c r="E39" s="1" t="s">
        <v>65</v>
      </c>
    </row>
    <row r="40">
      <c r="A40" s="1" t="s">
        <v>1</v>
      </c>
    </row>
    <row r="41">
      <c r="A41" s="1" t="s">
        <v>66</v>
      </c>
      <c r="B41" s="2" t="s">
        <v>67</v>
      </c>
    </row>
    <row r="42">
      <c r="A42" s="1" t="s">
        <v>23</v>
      </c>
      <c r="B42" s="1" t="s">
        <v>25</v>
      </c>
      <c r="C42" s="1" t="s">
        <v>68</v>
      </c>
      <c r="D42" s="1" t="s">
        <v>69</v>
      </c>
      <c r="E42" s="1" t="s">
        <v>24</v>
      </c>
    </row>
    <row r="43">
      <c r="A43" s="1" t="s">
        <v>70</v>
      </c>
      <c r="B43" s="1" t="s">
        <v>71</v>
      </c>
      <c r="C43" s="1" t="s">
        <v>72</v>
      </c>
      <c r="D43" s="1" t="s">
        <v>73</v>
      </c>
      <c r="E43" s="1" t="s">
        <v>74</v>
      </c>
    </row>
    <row r="44">
      <c r="A44" s="1" t="s">
        <v>75</v>
      </c>
      <c r="B44" s="1" t="s">
        <v>76</v>
      </c>
      <c r="C44" s="1" t="s">
        <v>77</v>
      </c>
      <c r="D44" s="1" t="s">
        <v>78</v>
      </c>
      <c r="E44" s="1" t="s">
        <v>79</v>
      </c>
    </row>
    <row r="45">
      <c r="A45" s="1" t="s">
        <v>80</v>
      </c>
      <c r="B45" s="1" t="s">
        <v>81</v>
      </c>
      <c r="C45" s="1" t="s">
        <v>82</v>
      </c>
      <c r="D45" s="1" t="s">
        <v>83</v>
      </c>
      <c r="E45" s="1" t="s">
        <v>79</v>
      </c>
    </row>
    <row r="46">
      <c r="A46" s="1" t="s">
        <v>84</v>
      </c>
      <c r="B46" s="1" t="s">
        <v>85</v>
      </c>
      <c r="C46" s="1" t="s">
        <v>77</v>
      </c>
      <c r="D46" s="1" t="s">
        <v>86</v>
      </c>
      <c r="E46" s="1" t="s">
        <v>79</v>
      </c>
    </row>
    <row r="47">
      <c r="A47" s="1" t="s">
        <v>87</v>
      </c>
      <c r="B47" s="1" t="s">
        <v>88</v>
      </c>
      <c r="C47" s="1" t="s">
        <v>72</v>
      </c>
      <c r="D47" s="1" t="s">
        <v>89</v>
      </c>
      <c r="E47" s="1" t="s">
        <v>74</v>
      </c>
    </row>
    <row r="48">
      <c r="A48" s="1" t="s">
        <v>90</v>
      </c>
      <c r="B48" s="1" t="s">
        <v>91</v>
      </c>
      <c r="C48" s="1" t="s">
        <v>82</v>
      </c>
      <c r="D48" s="1" t="s">
        <v>92</v>
      </c>
      <c r="E48" s="1" t="s">
        <v>79</v>
      </c>
    </row>
    <row r="49">
      <c r="A49" s="1" t="s">
        <v>93</v>
      </c>
      <c r="B49" s="1" t="s">
        <v>94</v>
      </c>
      <c r="C49" s="1" t="s">
        <v>82</v>
      </c>
      <c r="D49" s="1" t="s">
        <v>95</v>
      </c>
      <c r="E49" s="1" t="s">
        <v>79</v>
      </c>
    </row>
    <row r="50">
      <c r="A50" s="1" t="s">
        <v>96</v>
      </c>
      <c r="B50" s="1" t="s">
        <v>97</v>
      </c>
      <c r="C50" s="1" t="s">
        <v>77</v>
      </c>
      <c r="D50" s="1" t="s">
        <v>98</v>
      </c>
      <c r="E50" s="1" t="s">
        <v>79</v>
      </c>
    </row>
    <row r="51">
      <c r="A51" s="1" t="s">
        <v>99</v>
      </c>
      <c r="B51" s="1" t="s">
        <v>100</v>
      </c>
      <c r="C51" s="1" t="s">
        <v>101</v>
      </c>
      <c r="D51" s="1" t="s">
        <v>102</v>
      </c>
      <c r="E51" s="1" t="s">
        <v>74</v>
      </c>
    </row>
    <row r="52">
      <c r="A52" s="1" t="s">
        <v>103</v>
      </c>
      <c r="B52" s="1" t="s">
        <v>104</v>
      </c>
      <c r="C52" s="1" t="s">
        <v>105</v>
      </c>
      <c r="D52" s="1" t="s">
        <v>106</v>
      </c>
      <c r="E52" s="1" t="s">
        <v>74</v>
      </c>
    </row>
    <row r="53">
      <c r="A53" s="1" t="s">
        <v>107</v>
      </c>
      <c r="B53" s="1" t="s">
        <v>108</v>
      </c>
      <c r="C53" s="1" t="s">
        <v>82</v>
      </c>
      <c r="D53" s="1" t="s">
        <v>109</v>
      </c>
      <c r="E53" s="1" t="s">
        <v>74</v>
      </c>
    </row>
    <row r="54">
      <c r="A54" s="1" t="s">
        <v>110</v>
      </c>
      <c r="B54" s="1" t="s">
        <v>111</v>
      </c>
      <c r="C54" s="1" t="s">
        <v>77</v>
      </c>
      <c r="D54" s="1" t="s">
        <v>112</v>
      </c>
      <c r="E54" s="1" t="s">
        <v>74</v>
      </c>
    </row>
    <row r="55">
      <c r="A55" s="1" t="s">
        <v>113</v>
      </c>
      <c r="B55" s="1" t="s">
        <v>114</v>
      </c>
      <c r="C55" s="1" t="s">
        <v>77</v>
      </c>
      <c r="D55" s="1" t="s">
        <v>115</v>
      </c>
      <c r="E55" s="1" t="s">
        <v>74</v>
      </c>
    </row>
    <row r="56">
      <c r="A56" s="1" t="s">
        <v>116</v>
      </c>
      <c r="B56" s="1" t="s">
        <v>117</v>
      </c>
      <c r="C56" s="1" t="s">
        <v>118</v>
      </c>
      <c r="D56" s="1" t="s">
        <v>119</v>
      </c>
      <c r="E56" s="1" t="s">
        <v>74</v>
      </c>
    </row>
    <row r="57">
      <c r="A57" s="1" t="s">
        <v>120</v>
      </c>
      <c r="B57" s="1" t="s">
        <v>121</v>
      </c>
      <c r="C57" s="1" t="s">
        <v>122</v>
      </c>
      <c r="D57" s="1" t="s">
        <v>123</v>
      </c>
      <c r="E57" s="1" t="s">
        <v>74</v>
      </c>
    </row>
    <row r="58">
      <c r="A58" s="1" t="s">
        <v>124</v>
      </c>
      <c r="B58" s="1" t="s">
        <v>125</v>
      </c>
      <c r="C58" s="1" t="s">
        <v>126</v>
      </c>
      <c r="D58" s="1" t="s">
        <v>127</v>
      </c>
      <c r="E58" s="1" t="s">
        <v>74</v>
      </c>
    </row>
    <row r="59">
      <c r="A59" s="1" t="s">
        <v>128</v>
      </c>
      <c r="B59" s="1" t="s">
        <v>129</v>
      </c>
      <c r="C59" s="1" t="s">
        <v>82</v>
      </c>
      <c r="D59" s="1" t="s">
        <v>130</v>
      </c>
      <c r="E59" s="1" t="s">
        <v>79</v>
      </c>
    </row>
    <row r="60">
      <c r="A60" s="1" t="s">
        <v>131</v>
      </c>
      <c r="B60" s="1" t="s">
        <v>132</v>
      </c>
      <c r="C60" s="1" t="s">
        <v>77</v>
      </c>
      <c r="D60" s="1" t="s">
        <v>133</v>
      </c>
      <c r="E60" s="1" t="s">
        <v>79</v>
      </c>
    </row>
    <row r="61">
      <c r="A61" s="1" t="s">
        <v>134</v>
      </c>
      <c r="B61" s="1" t="s">
        <v>135</v>
      </c>
      <c r="C61" s="1" t="s">
        <v>101</v>
      </c>
      <c r="D61" s="1" t="s">
        <v>136</v>
      </c>
      <c r="E61" s="1" t="s">
        <v>74</v>
      </c>
    </row>
    <row r="62">
      <c r="A62" s="1" t="s">
        <v>137</v>
      </c>
      <c r="B62" s="1" t="s">
        <v>138</v>
      </c>
      <c r="C62" s="1" t="s">
        <v>105</v>
      </c>
      <c r="D62" s="1" t="s">
        <v>139</v>
      </c>
      <c r="E62" s="1" t="s">
        <v>74</v>
      </c>
    </row>
    <row r="63">
      <c r="A63" s="1" t="s">
        <v>140</v>
      </c>
      <c r="B63" s="1" t="s">
        <v>141</v>
      </c>
      <c r="C63" s="1" t="s">
        <v>142</v>
      </c>
      <c r="D63" s="1" t="s">
        <v>143</v>
      </c>
      <c r="E63" s="1" t="s">
        <v>74</v>
      </c>
    </row>
    <row r="64">
      <c r="A64" s="1" t="s">
        <v>144</v>
      </c>
      <c r="B64" s="1" t="s">
        <v>145</v>
      </c>
      <c r="C64" s="1" t="s">
        <v>142</v>
      </c>
      <c r="D64" s="1" t="s">
        <v>146</v>
      </c>
      <c r="E64" s="1" t="s">
        <v>74</v>
      </c>
    </row>
    <row r="65">
      <c r="A65" s="1" t="s">
        <v>147</v>
      </c>
      <c r="B65" s="1" t="s">
        <v>148</v>
      </c>
      <c r="C65" s="1" t="s">
        <v>101</v>
      </c>
      <c r="D65" s="1" t="s">
        <v>149</v>
      </c>
      <c r="E65" s="1" t="s">
        <v>74</v>
      </c>
    </row>
    <row r="66">
      <c r="A66" s="1" t="s">
        <v>150</v>
      </c>
      <c r="B66" s="1" t="s">
        <v>151</v>
      </c>
      <c r="C66" s="1" t="s">
        <v>118</v>
      </c>
      <c r="D66" s="1" t="s">
        <v>152</v>
      </c>
      <c r="E66" s="1" t="s">
        <v>74</v>
      </c>
    </row>
    <row r="67">
      <c r="A67" s="1" t="s">
        <v>153</v>
      </c>
      <c r="B67" s="1" t="s">
        <v>154</v>
      </c>
      <c r="C67" s="1" t="s">
        <v>122</v>
      </c>
      <c r="D67" s="1" t="s">
        <v>155</v>
      </c>
      <c r="E67" s="1" t="s">
        <v>74</v>
      </c>
    </row>
    <row r="68">
      <c r="A68" s="1" t="s">
        <v>156</v>
      </c>
      <c r="B68" s="1" t="s">
        <v>157</v>
      </c>
      <c r="C68" s="1" t="s">
        <v>126</v>
      </c>
      <c r="D68" s="1" t="s">
        <v>158</v>
      </c>
      <c r="E68" s="1" t="s">
        <v>74</v>
      </c>
    </row>
    <row r="69">
      <c r="A69" s="1" t="s">
        <v>159</v>
      </c>
      <c r="B69" s="1" t="s">
        <v>160</v>
      </c>
      <c r="C69" s="1" t="s">
        <v>126</v>
      </c>
      <c r="D69" s="1" t="s">
        <v>161</v>
      </c>
      <c r="E69" s="1" t="s">
        <v>79</v>
      </c>
    </row>
    <row r="70">
      <c r="A70" s="1" t="s">
        <v>162</v>
      </c>
      <c r="B70" s="1" t="s">
        <v>163</v>
      </c>
      <c r="C70" s="1" t="s">
        <v>105</v>
      </c>
      <c r="D70" s="1" t="s">
        <v>164</v>
      </c>
      <c r="E70" s="1" t="s">
        <v>165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67.88"/>
    <col customWidth="1" min="9" max="9" width="29.75"/>
  </cols>
  <sheetData>
    <row r="1">
      <c r="A1" s="1" t="s">
        <v>23</v>
      </c>
      <c r="B1" s="1" t="s">
        <v>24</v>
      </c>
      <c r="C1" s="1" t="s">
        <v>166</v>
      </c>
      <c r="D1" s="1" t="s">
        <v>167</v>
      </c>
      <c r="E1" s="1" t="s">
        <v>68</v>
      </c>
      <c r="F1" s="1" t="s">
        <v>168</v>
      </c>
      <c r="G1" s="1" t="s">
        <v>69</v>
      </c>
      <c r="H1" s="1" t="s">
        <v>26</v>
      </c>
      <c r="I1" s="1" t="s">
        <v>169</v>
      </c>
      <c r="J1" s="1" t="s">
        <v>170</v>
      </c>
      <c r="K1" s="1" t="s">
        <v>171</v>
      </c>
      <c r="L1" s="1" t="s">
        <v>172</v>
      </c>
      <c r="M1" s="1" t="s">
        <v>173</v>
      </c>
      <c r="N1" s="3" t="s">
        <v>174</v>
      </c>
    </row>
    <row r="2" ht="112.5" customHeight="1">
      <c r="A2" s="1" t="s">
        <v>28</v>
      </c>
      <c r="B2" s="1" t="s">
        <v>175</v>
      </c>
      <c r="C2" s="1" t="s">
        <v>176</v>
      </c>
      <c r="D2" s="1" t="s">
        <v>177</v>
      </c>
      <c r="F2" s="1" t="s">
        <v>178</v>
      </c>
      <c r="H2" s="1">
        <v>1.0</v>
      </c>
      <c r="I2" s="4" t="str">
        <f>IMAGE("https://storage.googleapis.com/slated-pipeline-pins/blog-hero-shrimp-avocado-tacos.jpg")</f>
        <v/>
      </c>
      <c r="J2" s="1" t="s">
        <v>4</v>
      </c>
    </row>
    <row r="3" ht="112.5" customHeight="1">
      <c r="A3" s="1" t="s">
        <v>33</v>
      </c>
      <c r="B3" s="1" t="s">
        <v>175</v>
      </c>
      <c r="C3" s="1" t="s">
        <v>179</v>
      </c>
      <c r="D3" s="1" t="s">
        <v>180</v>
      </c>
      <c r="F3" s="1" t="s">
        <v>181</v>
      </c>
      <c r="H3" s="1">
        <v>1.0</v>
      </c>
      <c r="I3" s="4" t="str">
        <f>IMAGE("https://storage.googleapis.com/slated-pipeline-pins/blog-hero-beef-broccoli-stir-fry.jpg")</f>
        <v/>
      </c>
      <c r="J3" s="1" t="s">
        <v>4</v>
      </c>
    </row>
    <row r="4" ht="112.5" customHeight="1">
      <c r="A4" s="1" t="s">
        <v>36</v>
      </c>
      <c r="B4" s="1" t="s">
        <v>175</v>
      </c>
      <c r="C4" s="1" t="s">
        <v>38</v>
      </c>
      <c r="D4" s="1" t="s">
        <v>182</v>
      </c>
      <c r="F4" s="1" t="s">
        <v>183</v>
      </c>
      <c r="H4" s="1">
        <v>2.0</v>
      </c>
      <c r="I4" s="4" t="str">
        <f>IMAGE("https://storage.googleapis.com/slated-pipeline-pins/blog-hero-hidden-veggie-mac-and-cheese-kids-love.jpg")</f>
        <v/>
      </c>
      <c r="J4" s="1" t="s">
        <v>184</v>
      </c>
      <c r="L4" s="1" t="s">
        <v>185</v>
      </c>
    </row>
    <row r="5" ht="112.5" customHeight="1">
      <c r="A5" s="1" t="s">
        <v>41</v>
      </c>
      <c r="B5" s="1" t="s">
        <v>175</v>
      </c>
      <c r="C5" s="1" t="s">
        <v>186</v>
      </c>
      <c r="D5" s="1" t="s">
        <v>187</v>
      </c>
      <c r="F5" s="1" t="s">
        <v>188</v>
      </c>
      <c r="H5" s="1">
        <v>2.0</v>
      </c>
      <c r="J5" s="1" t="s">
        <v>184</v>
      </c>
      <c r="L5" s="1" t="s">
        <v>189</v>
      </c>
    </row>
    <row r="6" ht="112.5" customHeight="1">
      <c r="A6" s="1" t="s">
        <v>45</v>
      </c>
      <c r="B6" s="1" t="s">
        <v>175</v>
      </c>
      <c r="C6" s="1" t="s">
        <v>190</v>
      </c>
      <c r="D6" s="1" t="s">
        <v>191</v>
      </c>
      <c r="F6" s="1" t="s">
        <v>192</v>
      </c>
      <c r="H6" s="1">
        <v>3.0</v>
      </c>
      <c r="I6" s="4" t="str">
        <f>IMAGE("https://storage.googleapis.com/slated-pipeline-pins/blog-hero-one-pan-lemon-herb-chicken-spring-vegetables.jpg")</f>
        <v/>
      </c>
      <c r="J6" s="1" t="s">
        <v>4</v>
      </c>
    </row>
    <row r="7" ht="112.5" customHeight="1">
      <c r="A7" s="1" t="s">
        <v>49</v>
      </c>
      <c r="B7" s="1" t="s">
        <v>175</v>
      </c>
      <c r="C7" s="1" t="s">
        <v>193</v>
      </c>
      <c r="D7" s="1" t="s">
        <v>194</v>
      </c>
      <c r="F7" s="1" t="s">
        <v>195</v>
      </c>
      <c r="H7" s="1">
        <v>3.0</v>
      </c>
      <c r="I7" s="4" t="str">
        <f>IMAGE("https://storage.googleapis.com/slated-pipeline-pins/blog-hero-15-minute-teriyaki-salmon-bowls.jpg")</f>
        <v/>
      </c>
      <c r="J7" s="1" t="s">
        <v>184</v>
      </c>
      <c r="L7" s="1" t="s">
        <v>196</v>
      </c>
    </row>
    <row r="8" ht="112.5" customHeight="1">
      <c r="A8" s="1" t="s">
        <v>52</v>
      </c>
      <c r="B8" s="1" t="s">
        <v>175</v>
      </c>
      <c r="C8" s="1" t="s">
        <v>197</v>
      </c>
      <c r="D8" s="1" t="s">
        <v>198</v>
      </c>
      <c r="F8" s="1" t="s">
        <v>199</v>
      </c>
      <c r="H8" s="1">
        <v>3.0</v>
      </c>
      <c r="I8" s="4" t="str">
        <f>IMAGE("https://storage.googleapis.com/slated-pipeline-pins/blog-hero-creamy-tuscan-chicken-pasta.jpg")</f>
        <v/>
      </c>
      <c r="J8" s="1" t="s">
        <v>4</v>
      </c>
      <c r="L8" s="1" t="s">
        <v>200</v>
      </c>
    </row>
    <row r="9" ht="112.5" customHeight="1">
      <c r="A9" s="1" t="s">
        <v>55</v>
      </c>
      <c r="B9" s="1" t="s">
        <v>175</v>
      </c>
      <c r="C9" s="1" t="s">
        <v>56</v>
      </c>
      <c r="D9" s="1" t="s">
        <v>201</v>
      </c>
      <c r="F9" s="1" t="s">
        <v>202</v>
      </c>
      <c r="H9" s="1">
        <v>4.0</v>
      </c>
      <c r="J9" s="1" t="s">
        <v>184</v>
      </c>
      <c r="L9" s="1" t="s">
        <v>203</v>
      </c>
    </row>
    <row r="10">
      <c r="A10" s="1" t="s">
        <v>59</v>
      </c>
      <c r="B10" s="1" t="s">
        <v>175</v>
      </c>
      <c r="C10" s="1" t="s">
        <v>204</v>
      </c>
      <c r="D10" s="1" t="s">
        <v>205</v>
      </c>
      <c r="F10" s="1" t="s">
        <v>206</v>
      </c>
      <c r="H10" s="1">
        <v>5.0</v>
      </c>
      <c r="I10" s="4" t="str">
        <f>IMAGE("https://storage.googleapis.com/slated-pipeline-pins/blog-hero-air-fryer-honey-garlic-chicken-thighs.jpg")</f>
        <v/>
      </c>
      <c r="J10" s="1" t="s">
        <v>184</v>
      </c>
      <c r="L10" s="1" t="s">
        <v>207</v>
      </c>
    </row>
    <row r="11">
      <c r="A11" s="1" t="s">
        <v>63</v>
      </c>
      <c r="B11" s="1" t="s">
        <v>175</v>
      </c>
      <c r="C11" s="1" t="s">
        <v>208</v>
      </c>
      <c r="D11" s="1" t="s">
        <v>209</v>
      </c>
      <c r="F11" s="1" t="s">
        <v>210</v>
      </c>
      <c r="H11" s="1">
        <v>5.0</v>
      </c>
      <c r="I11" s="4" t="str">
        <f>IMAGE("https://storage.googleapis.com/slated-pipeline-pins/blog-hero-high-protein-turkey-meatball-bowls.jpg")</f>
        <v/>
      </c>
      <c r="J11" s="1" t="s">
        <v>184</v>
      </c>
      <c r="L11" s="1" t="s">
        <v>211</v>
      </c>
    </row>
    <row r="12" ht="150.0" customHeight="1">
      <c r="A12" s="1" t="s">
        <v>70</v>
      </c>
      <c r="B12" s="1" t="s">
        <v>212</v>
      </c>
      <c r="C12" s="1" t="s">
        <v>213</v>
      </c>
      <c r="D12" s="1" t="s">
        <v>214</v>
      </c>
      <c r="E12" s="1" t="s">
        <v>72</v>
      </c>
      <c r="F12" s="5" t="s">
        <v>215</v>
      </c>
      <c r="G12" s="1" t="s">
        <v>216</v>
      </c>
      <c r="H12" s="1" t="s">
        <v>217</v>
      </c>
      <c r="I12" s="4" t="str">
        <f>IMAGE("https://storage.googleapis.com/slated-pipeline-pins/W9-01.png")</f>
        <v/>
      </c>
      <c r="J12" s="1" t="s">
        <v>4</v>
      </c>
      <c r="K12" s="1">
        <v>8.5</v>
      </c>
    </row>
    <row r="13" ht="150.0" customHeight="1">
      <c r="A13" s="1" t="s">
        <v>75</v>
      </c>
      <c r="B13" s="1" t="s">
        <v>212</v>
      </c>
      <c r="C13" s="1" t="s">
        <v>218</v>
      </c>
      <c r="D13" s="1" t="s">
        <v>219</v>
      </c>
      <c r="E13" s="1" t="s">
        <v>77</v>
      </c>
      <c r="F13" s="5" t="s">
        <v>215</v>
      </c>
      <c r="G13" s="1" t="s">
        <v>220</v>
      </c>
      <c r="H13" s="1" t="s">
        <v>217</v>
      </c>
      <c r="I13" s="4" t="str">
        <f>IMAGE("https://storage.googleapis.com/slated-pipeline-pins/W9-02.png")</f>
        <v/>
      </c>
      <c r="J13" s="1" t="s">
        <v>184</v>
      </c>
      <c r="K13" s="1">
        <v>9.0</v>
      </c>
      <c r="L13" s="1" t="s">
        <v>221</v>
      </c>
    </row>
    <row r="14" ht="150.0" customHeight="1">
      <c r="A14" s="1" t="s">
        <v>80</v>
      </c>
      <c r="B14" s="1" t="s">
        <v>212</v>
      </c>
      <c r="C14" s="1" t="s">
        <v>222</v>
      </c>
      <c r="D14" s="1" t="s">
        <v>223</v>
      </c>
      <c r="E14" s="1" t="s">
        <v>82</v>
      </c>
      <c r="F14" s="5" t="s">
        <v>215</v>
      </c>
      <c r="G14" s="1" t="s">
        <v>224</v>
      </c>
      <c r="H14" s="1" t="s">
        <v>217</v>
      </c>
      <c r="I14" s="4" t="str">
        <f>IMAGE("https://storage.googleapis.com/slated-pipeline-pins/W9-03.png")</f>
        <v/>
      </c>
      <c r="J14" s="1" t="s">
        <v>4</v>
      </c>
      <c r="K14" s="1">
        <v>8.5</v>
      </c>
    </row>
    <row r="15" ht="150.0" customHeight="1">
      <c r="A15" s="1" t="s">
        <v>84</v>
      </c>
      <c r="B15" s="1" t="s">
        <v>212</v>
      </c>
      <c r="C15" s="1" t="s">
        <v>225</v>
      </c>
      <c r="D15" s="1" t="s">
        <v>226</v>
      </c>
      <c r="E15" s="1" t="s">
        <v>77</v>
      </c>
      <c r="F15" s="5" t="s">
        <v>215</v>
      </c>
      <c r="G15" s="1" t="s">
        <v>227</v>
      </c>
      <c r="H15" s="1" t="s">
        <v>217</v>
      </c>
      <c r="I15" s="4" t="str">
        <f>IMAGE("https://storage.googleapis.com/slated-pipeline-pins/W9-04.png")</f>
        <v/>
      </c>
      <c r="J15" s="1" t="s">
        <v>4</v>
      </c>
      <c r="K15" s="1">
        <v>9.0</v>
      </c>
    </row>
    <row r="16" ht="150.0" customHeight="1">
      <c r="A16" s="1" t="s">
        <v>87</v>
      </c>
      <c r="B16" s="1" t="s">
        <v>212</v>
      </c>
      <c r="C16" s="1" t="s">
        <v>228</v>
      </c>
      <c r="D16" s="1" t="s">
        <v>229</v>
      </c>
      <c r="E16" s="1" t="s">
        <v>72</v>
      </c>
      <c r="F16" s="5" t="s">
        <v>230</v>
      </c>
      <c r="G16" s="1" t="s">
        <v>231</v>
      </c>
      <c r="H16" s="1" t="s">
        <v>217</v>
      </c>
      <c r="I16" s="4" t="str">
        <f>IMAGE("https://storage.googleapis.com/slated-pipeline-pins/W9-05.png")</f>
        <v/>
      </c>
      <c r="J16" s="1" t="s">
        <v>4</v>
      </c>
      <c r="K16" s="1">
        <v>8.0</v>
      </c>
    </row>
    <row r="17" ht="150.0" customHeight="1">
      <c r="A17" s="1" t="s">
        <v>90</v>
      </c>
      <c r="B17" s="1" t="s">
        <v>212</v>
      </c>
      <c r="C17" s="1" t="s">
        <v>232</v>
      </c>
      <c r="D17" s="1" t="s">
        <v>233</v>
      </c>
      <c r="E17" s="1" t="s">
        <v>82</v>
      </c>
      <c r="F17" s="5" t="s">
        <v>230</v>
      </c>
      <c r="G17" s="1" t="s">
        <v>234</v>
      </c>
      <c r="H17" s="1" t="s">
        <v>217</v>
      </c>
      <c r="I17" s="4" t="str">
        <f>IMAGE("https://storage.googleapis.com/slated-pipeline-pins/W9-06.png")</f>
        <v/>
      </c>
      <c r="J17" s="1" t="s">
        <v>4</v>
      </c>
      <c r="K17" s="1">
        <v>8.5</v>
      </c>
    </row>
    <row r="18" ht="150.0" customHeight="1">
      <c r="A18" s="1" t="s">
        <v>93</v>
      </c>
      <c r="B18" s="1" t="s">
        <v>212</v>
      </c>
      <c r="C18" s="1" t="s">
        <v>235</v>
      </c>
      <c r="D18" s="1" t="s">
        <v>236</v>
      </c>
      <c r="E18" s="1" t="s">
        <v>82</v>
      </c>
      <c r="F18" s="5" t="s">
        <v>230</v>
      </c>
      <c r="G18" s="1" t="s">
        <v>237</v>
      </c>
      <c r="H18" s="1" t="s">
        <v>217</v>
      </c>
      <c r="I18" s="4" t="str">
        <f>IMAGE("https://storage.googleapis.com/slated-pipeline-pins/W9-07.png")</f>
        <v/>
      </c>
      <c r="J18" s="1" t="s">
        <v>4</v>
      </c>
      <c r="K18" s="1">
        <v>9.0</v>
      </c>
    </row>
    <row r="19" ht="150.0" customHeight="1">
      <c r="A19" s="1" t="s">
        <v>96</v>
      </c>
      <c r="B19" s="1" t="s">
        <v>212</v>
      </c>
      <c r="C19" s="1" t="s">
        <v>238</v>
      </c>
      <c r="D19" s="1" t="s">
        <v>239</v>
      </c>
      <c r="E19" s="1" t="s">
        <v>77</v>
      </c>
      <c r="F19" s="5" t="s">
        <v>230</v>
      </c>
      <c r="G19" s="1" t="s">
        <v>240</v>
      </c>
      <c r="H19" s="1" t="s">
        <v>217</v>
      </c>
      <c r="I19" s="4" t="str">
        <f>IMAGE("https://storage.googleapis.com/slated-pipeline-pins/W9-08.png")</f>
        <v/>
      </c>
      <c r="J19" s="1" t="s">
        <v>4</v>
      </c>
      <c r="K19" s="1">
        <v>8.5</v>
      </c>
    </row>
    <row r="20" ht="150.0" customHeight="1">
      <c r="A20" s="1" t="s">
        <v>99</v>
      </c>
      <c r="B20" s="1" t="s">
        <v>212</v>
      </c>
      <c r="C20" s="1" t="s">
        <v>241</v>
      </c>
      <c r="D20" s="1" t="s">
        <v>242</v>
      </c>
      <c r="E20" s="1" t="s">
        <v>101</v>
      </c>
      <c r="F20" s="5" t="s">
        <v>243</v>
      </c>
      <c r="G20" s="1" t="s">
        <v>244</v>
      </c>
      <c r="H20" s="1" t="s">
        <v>217</v>
      </c>
      <c r="I20" s="4" t="str">
        <f>IMAGE("https://storage.googleapis.com/slated-pipeline-pins/W9-09.png")</f>
        <v/>
      </c>
      <c r="J20" s="1" t="s">
        <v>245</v>
      </c>
      <c r="K20" s="1">
        <v>6.5</v>
      </c>
      <c r="L20" s="1" t="s">
        <v>246</v>
      </c>
    </row>
    <row r="21" ht="150.0" customHeight="1">
      <c r="A21" s="1" t="s">
        <v>103</v>
      </c>
      <c r="B21" s="1" t="s">
        <v>212</v>
      </c>
      <c r="C21" s="1" t="s">
        <v>247</v>
      </c>
      <c r="D21" s="1" t="s">
        <v>248</v>
      </c>
      <c r="E21" s="1" t="s">
        <v>105</v>
      </c>
      <c r="F21" s="5" t="s">
        <v>249</v>
      </c>
      <c r="G21" s="1" t="s">
        <v>250</v>
      </c>
      <c r="H21" s="1" t="s">
        <v>217</v>
      </c>
      <c r="I21" s="4" t="str">
        <f>IMAGE("https://storage.googleapis.com/slated-pipeline-pins/W9-10.png")</f>
        <v/>
      </c>
      <c r="J21" s="1" t="s">
        <v>4</v>
      </c>
    </row>
    <row r="22" ht="150.0" customHeight="1">
      <c r="A22" s="1" t="s">
        <v>107</v>
      </c>
      <c r="B22" s="1" t="s">
        <v>212</v>
      </c>
      <c r="C22" s="1" t="s">
        <v>251</v>
      </c>
      <c r="D22" s="1" t="s">
        <v>252</v>
      </c>
      <c r="E22" s="1" t="s">
        <v>82</v>
      </c>
      <c r="F22" s="5" t="s">
        <v>253</v>
      </c>
      <c r="G22" s="1" t="s">
        <v>254</v>
      </c>
      <c r="H22" s="1" t="s">
        <v>217</v>
      </c>
      <c r="I22" s="4" t="str">
        <f>IMAGE("https://storage.googleapis.com/slated-pipeline-pins/W9-11.png")</f>
        <v/>
      </c>
      <c r="J22" s="1" t="s">
        <v>4</v>
      </c>
      <c r="K22" s="1">
        <v>9.0</v>
      </c>
    </row>
    <row r="23" ht="150.0" customHeight="1">
      <c r="A23" s="1" t="s">
        <v>110</v>
      </c>
      <c r="B23" s="1" t="s">
        <v>212</v>
      </c>
      <c r="C23" s="1" t="s">
        <v>255</v>
      </c>
      <c r="D23" s="1" t="s">
        <v>256</v>
      </c>
      <c r="E23" s="1" t="s">
        <v>77</v>
      </c>
      <c r="F23" s="5" t="s">
        <v>257</v>
      </c>
      <c r="G23" s="1" t="s">
        <v>258</v>
      </c>
      <c r="H23" s="1" t="s">
        <v>217</v>
      </c>
      <c r="I23" s="4" t="str">
        <f>IMAGE("https://storage.googleapis.com/slated-pipeline-pins/W9-12.png")</f>
        <v/>
      </c>
      <c r="J23" s="1" t="s">
        <v>184</v>
      </c>
      <c r="K23" s="1">
        <v>8.0</v>
      </c>
      <c r="L23" s="1" t="s">
        <v>259</v>
      </c>
    </row>
    <row r="24" ht="150.0" customHeight="1">
      <c r="A24" s="1" t="s">
        <v>113</v>
      </c>
      <c r="B24" s="1" t="s">
        <v>212</v>
      </c>
      <c r="C24" s="1" t="s">
        <v>260</v>
      </c>
      <c r="D24" s="1" t="s">
        <v>261</v>
      </c>
      <c r="E24" s="1" t="s">
        <v>77</v>
      </c>
      <c r="F24" s="5" t="s">
        <v>262</v>
      </c>
      <c r="G24" s="1" t="s">
        <v>263</v>
      </c>
      <c r="H24" s="1" t="s">
        <v>217</v>
      </c>
      <c r="I24" s="4" t="str">
        <f>IMAGE("https://storage.googleapis.com/slated-pipeline-pins/W9-13.png")</f>
        <v/>
      </c>
      <c r="J24" s="1" t="s">
        <v>4</v>
      </c>
      <c r="K24" s="1">
        <v>9.0</v>
      </c>
    </row>
    <row r="25" ht="150.0" customHeight="1">
      <c r="A25" s="1" t="s">
        <v>116</v>
      </c>
      <c r="B25" s="1" t="s">
        <v>212</v>
      </c>
      <c r="C25" s="1" t="s">
        <v>264</v>
      </c>
      <c r="D25" s="1" t="s">
        <v>265</v>
      </c>
      <c r="E25" s="1" t="s">
        <v>118</v>
      </c>
      <c r="F25" s="5" t="s">
        <v>266</v>
      </c>
      <c r="G25" s="1" t="s">
        <v>267</v>
      </c>
      <c r="H25" s="1" t="s">
        <v>217</v>
      </c>
      <c r="I25" s="4" t="str">
        <f>IMAGE("https://storage.googleapis.com/slated-pipeline-pins/W9-14.png")</f>
        <v/>
      </c>
      <c r="J25" s="1" t="s">
        <v>4</v>
      </c>
    </row>
    <row r="26" ht="150.0" customHeight="1">
      <c r="A26" s="1" t="s">
        <v>120</v>
      </c>
      <c r="B26" s="1" t="s">
        <v>212</v>
      </c>
      <c r="C26" s="1" t="s">
        <v>268</v>
      </c>
      <c r="D26" s="1" t="s">
        <v>269</v>
      </c>
      <c r="E26" s="1" t="s">
        <v>122</v>
      </c>
      <c r="F26" s="5" t="s">
        <v>270</v>
      </c>
      <c r="G26" s="1" t="s">
        <v>271</v>
      </c>
      <c r="H26" s="1" t="s">
        <v>217</v>
      </c>
      <c r="I26" s="4" t="str">
        <f>IMAGE("https://storage.googleapis.com/slated-pipeline-pins/W9-15.png")</f>
        <v/>
      </c>
      <c r="J26" s="1" t="s">
        <v>4</v>
      </c>
      <c r="K26" s="1">
        <v>8.5</v>
      </c>
    </row>
    <row r="27" ht="150.0" customHeight="1">
      <c r="A27" s="1" t="s">
        <v>124</v>
      </c>
      <c r="B27" s="1" t="s">
        <v>212</v>
      </c>
      <c r="C27" s="1" t="s">
        <v>272</v>
      </c>
      <c r="D27" s="1" t="s">
        <v>273</v>
      </c>
      <c r="E27" s="1" t="s">
        <v>126</v>
      </c>
      <c r="F27" s="5" t="s">
        <v>274</v>
      </c>
      <c r="G27" s="1" t="s">
        <v>275</v>
      </c>
      <c r="H27" s="1" t="s">
        <v>217</v>
      </c>
      <c r="I27" s="4" t="str">
        <f>IMAGE("https://storage.googleapis.com/slated-pipeline-pins/W9-16.png")</f>
        <v/>
      </c>
      <c r="J27" s="1" t="s">
        <v>184</v>
      </c>
      <c r="K27" s="1">
        <v>9.0</v>
      </c>
      <c r="L27" s="1" t="s">
        <v>276</v>
      </c>
    </row>
    <row r="28" ht="150.0" customHeight="1">
      <c r="A28" s="1" t="s">
        <v>128</v>
      </c>
      <c r="B28" s="1" t="s">
        <v>212</v>
      </c>
      <c r="C28" s="1" t="s">
        <v>277</v>
      </c>
      <c r="D28" s="1" t="s">
        <v>278</v>
      </c>
      <c r="E28" s="1" t="s">
        <v>82</v>
      </c>
      <c r="F28" s="5" t="s">
        <v>215</v>
      </c>
      <c r="G28" s="1" t="s">
        <v>279</v>
      </c>
      <c r="H28" s="1" t="s">
        <v>217</v>
      </c>
      <c r="I28" s="4" t="str">
        <f>IMAGE("https://storage.googleapis.com/slated-pipeline-pins/W9-17.png")</f>
        <v/>
      </c>
      <c r="J28" s="1" t="s">
        <v>184</v>
      </c>
      <c r="K28" s="1">
        <v>9.0</v>
      </c>
      <c r="L28" s="1" t="s">
        <v>280</v>
      </c>
    </row>
    <row r="29" ht="150.0" customHeight="1">
      <c r="A29" s="1" t="s">
        <v>131</v>
      </c>
      <c r="B29" s="1" t="s">
        <v>212</v>
      </c>
      <c r="C29" s="1" t="s">
        <v>281</v>
      </c>
      <c r="D29" s="1" t="s">
        <v>282</v>
      </c>
      <c r="E29" s="1" t="s">
        <v>77</v>
      </c>
      <c r="F29" s="5" t="s">
        <v>230</v>
      </c>
      <c r="G29" s="1" t="s">
        <v>283</v>
      </c>
      <c r="H29" s="1" t="s">
        <v>217</v>
      </c>
      <c r="I29" s="4" t="str">
        <f>IMAGE("https://storage.googleapis.com/slated-pipeline-pins/W9-18.png")</f>
        <v/>
      </c>
      <c r="J29" s="1" t="s">
        <v>184</v>
      </c>
      <c r="K29" s="1">
        <v>9.0</v>
      </c>
      <c r="L29" s="1" t="s">
        <v>284</v>
      </c>
    </row>
    <row r="30" ht="150.0" customHeight="1">
      <c r="A30" s="1" t="s">
        <v>134</v>
      </c>
      <c r="B30" s="1" t="s">
        <v>212</v>
      </c>
      <c r="C30" s="1" t="s">
        <v>285</v>
      </c>
      <c r="D30" s="1" t="s">
        <v>286</v>
      </c>
      <c r="E30" s="1" t="s">
        <v>101</v>
      </c>
      <c r="F30" s="5" t="s">
        <v>243</v>
      </c>
      <c r="G30" s="1" t="s">
        <v>287</v>
      </c>
      <c r="H30" s="1" t="s">
        <v>217</v>
      </c>
      <c r="I30" s="4" t="str">
        <f>IMAGE("https://storage.googleapis.com/slated-pipeline-pins/W9-19.png")</f>
        <v/>
      </c>
      <c r="J30" s="1" t="s">
        <v>245</v>
      </c>
      <c r="L30" s="1" t="s">
        <v>288</v>
      </c>
    </row>
    <row r="31" ht="150.0" customHeight="1">
      <c r="A31" s="1" t="s">
        <v>137</v>
      </c>
      <c r="B31" s="1" t="s">
        <v>212</v>
      </c>
      <c r="C31" s="1" t="s">
        <v>289</v>
      </c>
      <c r="D31" s="1" t="s">
        <v>290</v>
      </c>
      <c r="E31" s="1" t="s">
        <v>105</v>
      </c>
      <c r="F31" s="5" t="s">
        <v>249</v>
      </c>
      <c r="G31" s="1" t="s">
        <v>291</v>
      </c>
      <c r="H31" s="1" t="s">
        <v>217</v>
      </c>
      <c r="I31" s="4" t="str">
        <f>IMAGE("https://storage.googleapis.com/slated-pipeline-pins/W9-20.png")</f>
        <v/>
      </c>
      <c r="J31" s="1" t="s">
        <v>184</v>
      </c>
      <c r="L31" s="1" t="s">
        <v>288</v>
      </c>
    </row>
    <row r="32" ht="150.0" customHeight="1">
      <c r="A32" s="1" t="s">
        <v>140</v>
      </c>
      <c r="B32" s="1" t="s">
        <v>212</v>
      </c>
      <c r="C32" s="1" t="s">
        <v>292</v>
      </c>
      <c r="D32" s="1" t="s">
        <v>293</v>
      </c>
      <c r="E32" s="1" t="s">
        <v>142</v>
      </c>
      <c r="F32" s="5" t="s">
        <v>253</v>
      </c>
      <c r="G32" s="1" t="s">
        <v>294</v>
      </c>
      <c r="H32" s="1" t="s">
        <v>217</v>
      </c>
      <c r="I32" s="4" t="str">
        <f>IMAGE("https://storage.googleapis.com/slated-pipeline-pins/W9-21.png")</f>
        <v/>
      </c>
      <c r="J32" s="1" t="s">
        <v>184</v>
      </c>
      <c r="L32" s="1" t="s">
        <v>288</v>
      </c>
    </row>
    <row r="33" ht="150.0" customHeight="1">
      <c r="A33" s="1" t="s">
        <v>144</v>
      </c>
      <c r="B33" s="1" t="s">
        <v>212</v>
      </c>
      <c r="C33" s="1" t="s">
        <v>295</v>
      </c>
      <c r="D33" s="1" t="s">
        <v>296</v>
      </c>
      <c r="E33" s="1" t="s">
        <v>142</v>
      </c>
      <c r="F33" s="5" t="s">
        <v>257</v>
      </c>
      <c r="G33" s="1" t="s">
        <v>297</v>
      </c>
      <c r="H33" s="1" t="s">
        <v>217</v>
      </c>
      <c r="I33" s="4" t="str">
        <f>IMAGE("https://storage.googleapis.com/slated-pipeline-pins/W9-22.png")</f>
        <v/>
      </c>
      <c r="J33" s="1" t="s">
        <v>184</v>
      </c>
      <c r="L33" s="1" t="s">
        <v>288</v>
      </c>
    </row>
    <row r="34" ht="150.0" customHeight="1">
      <c r="A34" s="1" t="s">
        <v>147</v>
      </c>
      <c r="B34" s="1" t="s">
        <v>212</v>
      </c>
      <c r="C34" s="1" t="s">
        <v>298</v>
      </c>
      <c r="D34" s="1" t="s">
        <v>299</v>
      </c>
      <c r="E34" s="1" t="s">
        <v>101</v>
      </c>
      <c r="F34" s="5" t="s">
        <v>262</v>
      </c>
      <c r="G34" s="1" t="s">
        <v>300</v>
      </c>
      <c r="H34" s="1" t="s">
        <v>217</v>
      </c>
      <c r="I34" s="4" t="str">
        <f>IMAGE("https://storage.googleapis.com/slated-pipeline-pins/W9-23.png")</f>
        <v/>
      </c>
      <c r="J34" s="1" t="s">
        <v>184</v>
      </c>
      <c r="L34" s="1" t="s">
        <v>288</v>
      </c>
    </row>
    <row r="35" ht="150.0" customHeight="1">
      <c r="A35" s="1" t="s">
        <v>150</v>
      </c>
      <c r="B35" s="1" t="s">
        <v>212</v>
      </c>
      <c r="C35" s="1" t="s">
        <v>301</v>
      </c>
      <c r="D35" s="1" t="s">
        <v>302</v>
      </c>
      <c r="E35" s="1" t="s">
        <v>118</v>
      </c>
      <c r="F35" s="5" t="s">
        <v>266</v>
      </c>
      <c r="G35" s="1" t="s">
        <v>303</v>
      </c>
      <c r="H35" s="1" t="s">
        <v>217</v>
      </c>
      <c r="I35" s="4" t="str">
        <f>IMAGE("https://storage.googleapis.com/slated-pipeline-pins/W9-24.png")</f>
        <v/>
      </c>
      <c r="J35" s="1" t="s">
        <v>184</v>
      </c>
      <c r="L35" s="1" t="s">
        <v>288</v>
      </c>
    </row>
    <row r="36" ht="150.0" customHeight="1">
      <c r="A36" s="1" t="s">
        <v>153</v>
      </c>
      <c r="B36" s="1" t="s">
        <v>212</v>
      </c>
      <c r="C36" s="1" t="s">
        <v>304</v>
      </c>
      <c r="D36" s="1" t="s">
        <v>305</v>
      </c>
      <c r="E36" s="1" t="s">
        <v>122</v>
      </c>
      <c r="F36" s="5" t="s">
        <v>270</v>
      </c>
      <c r="G36" s="1" t="s">
        <v>306</v>
      </c>
      <c r="H36" s="1" t="s">
        <v>217</v>
      </c>
      <c r="I36" s="4" t="str">
        <f>IMAGE("https://storage.googleapis.com/slated-pipeline-pins/W9-25.png")</f>
        <v/>
      </c>
      <c r="J36" s="1" t="s">
        <v>184</v>
      </c>
      <c r="L36" s="1" t="s">
        <v>288</v>
      </c>
    </row>
    <row r="37" ht="150.0" customHeight="1">
      <c r="A37" s="1" t="s">
        <v>156</v>
      </c>
      <c r="B37" s="1" t="s">
        <v>212</v>
      </c>
      <c r="C37" s="1" t="s">
        <v>307</v>
      </c>
      <c r="D37" s="1" t="s">
        <v>308</v>
      </c>
      <c r="E37" s="1" t="s">
        <v>126</v>
      </c>
      <c r="F37" s="5" t="s">
        <v>274</v>
      </c>
      <c r="G37" s="1" t="s">
        <v>309</v>
      </c>
      <c r="H37" s="1" t="s">
        <v>217</v>
      </c>
      <c r="I37" s="4" t="str">
        <f>IMAGE("https://storage.googleapis.com/slated-pipeline-pins/W9-26.png")</f>
        <v/>
      </c>
      <c r="J37" s="1" t="s">
        <v>184</v>
      </c>
      <c r="L37" s="1" t="s">
        <v>288</v>
      </c>
    </row>
    <row r="38" ht="150.0" customHeight="1">
      <c r="A38" s="1" t="s">
        <v>159</v>
      </c>
      <c r="B38" s="1" t="s">
        <v>212</v>
      </c>
      <c r="C38" s="1" t="s">
        <v>310</v>
      </c>
      <c r="D38" s="1" t="s">
        <v>311</v>
      </c>
      <c r="E38" s="1" t="s">
        <v>126</v>
      </c>
      <c r="F38" s="5" t="s">
        <v>215</v>
      </c>
      <c r="G38" s="1" t="s">
        <v>312</v>
      </c>
      <c r="H38" s="1" t="s">
        <v>217</v>
      </c>
      <c r="I38" s="4" t="str">
        <f>IMAGE("https://storage.googleapis.com/slated-pipeline-pins/W9-27.png")</f>
        <v/>
      </c>
      <c r="J38" s="1" t="s">
        <v>184</v>
      </c>
      <c r="K38" s="1">
        <v>6.5</v>
      </c>
      <c r="L38" s="1" t="s">
        <v>313</v>
      </c>
    </row>
    <row r="39" ht="150.0" customHeight="1">
      <c r="A39" s="1" t="s">
        <v>162</v>
      </c>
      <c r="B39" s="1" t="s">
        <v>212</v>
      </c>
      <c r="C39" s="1" t="s">
        <v>314</v>
      </c>
      <c r="D39" s="1" t="s">
        <v>315</v>
      </c>
      <c r="E39" s="1" t="s">
        <v>105</v>
      </c>
      <c r="F39" s="5" t="s">
        <v>249</v>
      </c>
      <c r="G39" s="1" t="s">
        <v>316</v>
      </c>
      <c r="H39" s="1" t="s">
        <v>217</v>
      </c>
      <c r="I39" s="4" t="str">
        <f>IMAGE("https://storage.googleapis.com/slated-pipeline-pins/W9-28.png")</f>
        <v/>
      </c>
      <c r="J39" s="1" t="s">
        <v>4</v>
      </c>
    </row>
    <row r="41">
      <c r="A41" s="1" t="s">
        <v>317</v>
      </c>
      <c r="C41" s="1" t="s">
        <v>318</v>
      </c>
      <c r="D41" s="1" t="s">
        <v>319</v>
      </c>
    </row>
  </sheetData>
  <hyperlinks>
    <hyperlink r:id="rId2" ref="F12"/>
    <hyperlink r:id="rId3" ref="F13"/>
    <hyperlink r:id="rId4" ref="F14"/>
    <hyperlink r:id="rId5" ref="F15"/>
    <hyperlink r:id="rId6" ref="F16"/>
    <hyperlink r:id="rId7" ref="F17"/>
    <hyperlink r:id="rId8" ref="F18"/>
    <hyperlink r:id="rId9" ref="F19"/>
    <hyperlink r:id="rId10" ref="F20"/>
    <hyperlink r:id="rId11" ref="F21"/>
    <hyperlink r:id="rId12" ref="F22"/>
    <hyperlink r:id="rId13" ref="F23"/>
    <hyperlink r:id="rId14" ref="F24"/>
    <hyperlink r:id="rId15" ref="F25"/>
    <hyperlink r:id="rId16" ref="F26"/>
    <hyperlink r:id="rId17" ref="F27"/>
    <hyperlink r:id="rId18" ref="F28"/>
    <hyperlink r:id="rId19" ref="F29"/>
    <hyperlink r:id="rId20" ref="F30"/>
    <hyperlink r:id="rId21" ref="F31"/>
    <hyperlink r:id="rId22" ref="F32"/>
    <hyperlink r:id="rId23" ref="F33"/>
    <hyperlink r:id="rId24" ref="F34"/>
    <hyperlink r:id="rId25" ref="F35"/>
    <hyperlink r:id="rId26" ref="F36"/>
    <hyperlink r:id="rId27" ref="F37"/>
    <hyperlink r:id="rId28" ref="F38"/>
    <hyperlink r:id="rId29" ref="F39"/>
  </hyperlinks>
  <drawing r:id="rId30"/>
  <legacy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320</v>
      </c>
      <c r="B1" s="1" t="s">
        <v>321</v>
      </c>
      <c r="C1" s="1" t="s">
        <v>68</v>
      </c>
      <c r="D1" s="1" t="s">
        <v>322</v>
      </c>
      <c r="E1" s="1" t="s">
        <v>170</v>
      </c>
      <c r="F1" s="1" t="s">
        <v>323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324</v>
      </c>
      <c r="B1" s="1" t="s">
        <v>1</v>
      </c>
      <c r="C1" s="1" t="s">
        <v>325</v>
      </c>
    </row>
    <row r="2">
      <c r="A2" s="1" t="s">
        <v>1</v>
      </c>
    </row>
    <row r="3">
      <c r="A3" s="1" t="s">
        <v>326</v>
      </c>
      <c r="B3" s="2" t="s">
        <v>327</v>
      </c>
    </row>
    <row r="4">
      <c r="A4" s="1" t="s">
        <v>328</v>
      </c>
      <c r="B4" s="1" t="s">
        <v>329</v>
      </c>
    </row>
  </sheetData>
  <drawing r:id="rId1"/>
</worksheet>
</file>